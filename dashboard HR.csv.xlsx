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445A6C2D-B89B-424F-9DDE-1D66BEBAD5AC}" xr6:coauthVersionLast="47" xr6:coauthVersionMax="47" xr10:uidLastSave="{00000000-0000-0000-0000-000000000000}"/>
  <bookViews>
    <workbookView xWindow="-108" yWindow="-108" windowWidth="23256" windowHeight="12456" activeTab="2" xr2:uid="{A14BC163-4CAA-4CB0-ACD9-2ACA33738A02}"/>
  </bookViews>
  <sheets>
    <sheet name="Sheet2" sheetId="3" r:id="rId1"/>
    <sheet name="Sheet6" sheetId="7" r:id="rId2"/>
    <sheet name="dashboard HR" sheetId="1" r:id="rId3"/>
  </sheets>
  <definedNames>
    <definedName name="_xlchart.v1.0" hidden="1">Sheet2!$D$17:$D$31</definedName>
    <definedName name="_xlchart.v1.1" hidden="1">Sheet2!$E$16</definedName>
    <definedName name="_xlchart.v1.2" hidden="1">Sheet2!$E$17:$E$31</definedName>
    <definedName name="_xlchart.v1.3" hidden="1">Sheet2!$F$16</definedName>
    <definedName name="_xlchart.v1.4" hidden="1">Sheet2!$F$17:$F$31</definedName>
    <definedName name="_xlchart.v1.5" hidden="1">Sheet2!$D$17:$D$31</definedName>
    <definedName name="_xlchart.v1.6" hidden="1">Sheet2!$E$16</definedName>
    <definedName name="_xlchart.v1.7" hidden="1">Sheet2!$E$17:$E$31</definedName>
    <definedName name="_xlchart.v1.8" hidden="1">Sheet2!$F$16</definedName>
    <definedName name="_xlchart.v1.9" hidden="1">Sheet2!$F$17:$F$31</definedName>
    <definedName name="_xlcn.WorksheetConnection_dashboardHR.csvTable1" hidden="1">Table1[]</definedName>
    <definedName name="_xlcn.WorksheetConnection_dashboardHR.csvTable2" hidden="1">Table2[]</definedName>
    <definedName name="Slicer_businessUnit">#N/A</definedName>
    <definedName name="Slicer_Column4">#N/A</definedName>
    <definedName name="Slicer_DepartmentType1">#N/A</definedName>
    <definedName name="Slicer_employeeStatus">#N/A</definedName>
    <definedName name="Slicer_tittle">#N/A</definedName>
  </definedNames>
  <calcPr calcId="191029" calcMode="manual"/>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dashboard HR.csv!Table2"/>
          <x15:modelTable id="Table1" name="Table1" connection="WorksheetConnection_dashboard HR.csv!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3" i="1" l="1"/>
  <c r="AD19" i="1"/>
  <c r="AD16" i="1"/>
  <c r="AD10" i="1"/>
  <c r="AD7" i="1"/>
  <c r="AD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6052F7-37F5-49ED-8AFB-2258D4F549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9A4964-A8B8-48BF-B1B0-8DF64ED9D22D}" name="WorksheetConnection_dashboard HR.csv!Table1" type="102" refreshedVersion="8" minRefreshableVersion="5">
    <extLst>
      <ext xmlns:x15="http://schemas.microsoft.com/office/spreadsheetml/2010/11/main" uri="{DE250136-89BD-433C-8126-D09CA5730AF9}">
        <x15:connection id="Table1">
          <x15:rangePr sourceName="_xlcn.WorksheetConnection_dashboardHR.csvTable1"/>
        </x15:connection>
      </ext>
    </extLst>
  </connection>
  <connection id="3" xr16:uid="{E89D2A99-D4CC-4616-B74C-E50A3BF61DDF}" name="WorksheetConnection_dashboard HR.csv!Table2" type="102" refreshedVersion="8" minRefreshableVersion="5">
    <extLst>
      <ext xmlns:x15="http://schemas.microsoft.com/office/spreadsheetml/2010/11/main" uri="{DE250136-89BD-433C-8126-D09CA5730AF9}">
        <x15:connection id="Table2" autoDelete="1">
          <x15:rangePr sourceName="_xlcn.WorksheetConnection_dashboardHR.csvTable2"/>
        </x15:connection>
      </ext>
    </extLst>
  </connection>
</connections>
</file>

<file path=xl/sharedStrings.xml><?xml version="1.0" encoding="utf-8"?>
<sst xmlns="http://schemas.openxmlformats.org/spreadsheetml/2006/main" count="847" uniqueCount="118">
  <si>
    <t>Employee ID</t>
  </si>
  <si>
    <t>Title</t>
  </si>
  <si>
    <t>BusinessUnit</t>
  </si>
  <si>
    <t>EmployeeStatus</t>
  </si>
  <si>
    <t>EmployeeType</t>
  </si>
  <si>
    <t>PayZone</t>
  </si>
  <si>
    <t>EmployeeClassificationType</t>
  </si>
  <si>
    <t>DepartmentType</t>
  </si>
  <si>
    <t>Division</t>
  </si>
  <si>
    <t>State</t>
  </si>
  <si>
    <t>GenderCode</t>
  </si>
  <si>
    <t>RaceDesc</t>
  </si>
  <si>
    <t>MaritalDesc</t>
  </si>
  <si>
    <t>Performance Score</t>
  </si>
  <si>
    <t>Current Employee Rating</t>
  </si>
  <si>
    <t>Engagement Score</t>
  </si>
  <si>
    <t>Satisfaction Score</t>
  </si>
  <si>
    <t>Work-Life Balance Score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</si>
  <si>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</si>
  <si>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</si>
  <si>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</si>
  <si>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</si>
  <si>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</si>
  <si>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</si>
  <si>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</si>
  <si>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</si>
  <si>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</si>
  <si>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</si>
  <si>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</si>
  <si>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</si>
  <si>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</si>
  <si>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</si>
  <si>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</si>
  <si>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</si>
  <si>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</si>
  <si>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</si>
  <si>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</si>
  <si>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</si>
  <si>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</si>
  <si>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</si>
  <si>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</si>
  <si>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</si>
  <si>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</si>
  <si>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</si>
  <si>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</si>
  <si>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</si>
  <si>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</si>
  <si>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</si>
  <si>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</si>
  <si>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</si>
  <si>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</si>
  <si>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</si>
  <si>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</si>
  <si>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</si>
  <si>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</si>
  <si>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</si>
  <si>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</si>
  <si>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</si>
  <si>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</si>
  <si>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</si>
  <si>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</si>
  <si>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</si>
  <si>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</si>
  <si>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</si>
  <si>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</si>
  <si>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</si>
  <si>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</si>
  <si>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</si>
  <si>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</si>
  <si>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</si>
  <si>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</si>
  <si>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</si>
  <si>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</si>
  <si>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</si>
  <si>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</si>
  <si>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</si>
  <si>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</si>
  <si>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</si>
  <si>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</si>
  <si>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</si>
  <si>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</si>
  <si>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</si>
  <si>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</si>
  <si>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</si>
  <si>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</si>
  <si>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</si>
  <si>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</si>
  <si>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</si>
  <si>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</si>
  <si>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</si>
  <si>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</si>
  <si>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</si>
  <si>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</si>
  <si>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</si>
  <si>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</si>
  <si>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</si>
  <si>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</si>
  <si>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</si>
  <si>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</si>
  <si>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Column1</t>
  </si>
  <si>
    <t>Column8</t>
  </si>
  <si>
    <t>current employee rating</t>
  </si>
  <si>
    <t>engagement score</t>
  </si>
  <si>
    <t>satisfaction score</t>
  </si>
  <si>
    <t>traning cost avg</t>
  </si>
  <si>
    <t>t min</t>
  </si>
  <si>
    <t>training cost max</t>
  </si>
  <si>
    <t>lowest age</t>
  </si>
  <si>
    <t>Row Labels</t>
  </si>
  <si>
    <t>Grand Total</t>
  </si>
  <si>
    <t>Sum of Employee ID</t>
  </si>
  <si>
    <t>tittle</t>
  </si>
  <si>
    <t>businessUnit</t>
  </si>
  <si>
    <t>employeeStatus</t>
  </si>
  <si>
    <t>Count of EmployeeType</t>
  </si>
  <si>
    <t>Count of Column8</t>
  </si>
  <si>
    <t>Count of PayZone</t>
  </si>
  <si>
    <t>Count of tittle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</si>
</sst>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Arial Black"/>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5.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HR.csv.xlsx]Sheet2!PivotTable2</c:name>
    <c:fmtId val="7"/>
  </c:pivotSource>
  <c:chart>
    <c:title>
      <c:layout>
        <c:manualLayout>
          <c:xMode val="edge"/>
          <c:yMode val="edge"/>
          <c:x val="0.43372900262467184"/>
          <c:y val="5.453484981044036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Sheet2!$A$4:$A$5</c:f>
              <c:strCache>
                <c:ptCount val="1"/>
                <c:pt idx="0">
                  <c:v>Area Sales Manager</c:v>
                </c:pt>
              </c:strCache>
            </c:strRef>
          </c:cat>
          <c:val>
            <c:numRef>
              <c:f>Sheet2!$B$4:$B$5</c:f>
              <c:numCache>
                <c:formatCode>General</c:formatCode>
                <c:ptCount val="1"/>
                <c:pt idx="0">
                  <c:v>169286</c:v>
                </c:pt>
              </c:numCache>
            </c:numRef>
          </c:val>
          <c:extLst>
            <c:ext xmlns:c16="http://schemas.microsoft.com/office/drawing/2014/chart" uri="{C3380CC4-5D6E-409C-BE32-E72D297353CC}">
              <c16:uniqueId val="{00000000-269D-4F3A-B79F-8542238018DB}"/>
            </c:ext>
          </c:extLst>
        </c:ser>
        <c:dLbls>
          <c:dLblPos val="outEnd"/>
          <c:showLegendKey val="0"/>
          <c:showVal val="1"/>
          <c:showCatName val="0"/>
          <c:showSerName val="0"/>
          <c:showPercent val="0"/>
          <c:showBubbleSize val="0"/>
        </c:dLbls>
        <c:gapWidth val="164"/>
        <c:overlap val="-22"/>
        <c:axId val="211264287"/>
        <c:axId val="211252287"/>
      </c:barChart>
      <c:catAx>
        <c:axId val="2112642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52287"/>
        <c:crosses val="autoZero"/>
        <c:auto val="1"/>
        <c:lblAlgn val="ctr"/>
        <c:lblOffset val="100"/>
        <c:noMultiLvlLbl val="0"/>
      </c:catAx>
      <c:valAx>
        <c:axId val="21125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HR.csv.xlsx]Sheet2!PivotTable14</c:name>
    <c:fmtId val="7"/>
  </c:pivotSource>
  <c:chart>
    <c:title>
      <c:layout>
        <c:manualLayout>
          <c:xMode val="edge"/>
          <c:yMode val="edge"/>
          <c:x val="0.464722222222222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7-4183-A0C9-58CDFAA9B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7-4183-A0C9-58CDFAA9B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7-4183-A0C9-58CDFAA9BC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37-4183-A0C9-58CDFAA9BC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Sheet2!$F$3:$F$4</c:f>
              <c:strCache>
                <c:ptCount val="1"/>
                <c:pt idx="0">
                  <c:v>Sales</c:v>
                </c:pt>
              </c:strCache>
            </c:strRef>
          </c:cat>
          <c:val>
            <c:numRef>
              <c:f>Sheet2!$G$3:$G$4</c:f>
              <c:numCache>
                <c:formatCode>General</c:formatCode>
                <c:ptCount val="1"/>
                <c:pt idx="0">
                  <c:v>3</c:v>
                </c:pt>
              </c:numCache>
            </c:numRef>
          </c:val>
          <c:extLst>
            <c:ext xmlns:c16="http://schemas.microsoft.com/office/drawing/2014/chart" uri="{C3380CC4-5D6E-409C-BE32-E72D297353CC}">
              <c16:uniqueId val="{00000000-7ED3-4FD0-AE5B-B96B2ECAF1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HR.csv.xlsx]Sheet2!PivotTable17</c:name>
    <c:fmtId val="4"/>
  </c:pivotSource>
  <c:chart>
    <c:title>
      <c:layout>
        <c:manualLayout>
          <c:xMode val="edge"/>
          <c:yMode val="edge"/>
          <c:x val="0.4758333333333333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4939596092155147"/>
          <c:w val="0.74725196850393705"/>
          <c:h val="0.53774387576552929"/>
        </c:manualLayout>
      </c:layout>
      <c:lineChart>
        <c:grouping val="standard"/>
        <c:varyColors val="0"/>
        <c:ser>
          <c:idx val="0"/>
          <c:order val="0"/>
          <c:tx>
            <c:strRef>
              <c:f>Sheet2!$B$16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Sheet2!$A$17:$A$19</c:f>
              <c:strCache>
                <c:ptCount val="2"/>
                <c:pt idx="0">
                  <c:v>Production       </c:v>
                </c:pt>
                <c:pt idx="1">
                  <c:v>Sales</c:v>
                </c:pt>
              </c:strCache>
            </c:strRef>
          </c:cat>
          <c:val>
            <c:numRef>
              <c:f>Sheet2!$B$17:$B$19</c:f>
              <c:numCache>
                <c:formatCode>General</c:formatCode>
                <c:ptCount val="2"/>
                <c:pt idx="0">
                  <c:v>1</c:v>
                </c:pt>
                <c:pt idx="1">
                  <c:v>3</c:v>
                </c:pt>
              </c:numCache>
            </c:numRef>
          </c:val>
          <c:smooth val="0"/>
          <c:extLst>
            <c:ext xmlns:c16="http://schemas.microsoft.com/office/drawing/2014/chart" uri="{C3380CC4-5D6E-409C-BE32-E72D297353CC}">
              <c16:uniqueId val="{00000000-B39D-4FCA-B964-22EAF79A4648}"/>
            </c:ext>
          </c:extLst>
        </c:ser>
        <c:dLbls>
          <c:dLblPos val="t"/>
          <c:showLegendKey val="0"/>
          <c:showVal val="1"/>
          <c:showCatName val="0"/>
          <c:showSerName val="0"/>
          <c:showPercent val="0"/>
          <c:showBubbleSize val="0"/>
        </c:dLbls>
        <c:smooth val="0"/>
        <c:axId val="211271967"/>
        <c:axId val="211253247"/>
      </c:lineChart>
      <c:catAx>
        <c:axId val="21127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53247"/>
        <c:crosses val="autoZero"/>
        <c:auto val="1"/>
        <c:lblAlgn val="ctr"/>
        <c:lblOffset val="100"/>
        <c:noMultiLvlLbl val="0"/>
      </c:catAx>
      <c:valAx>
        <c:axId val="2112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96-4B64-9BAC-69FF583B5A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96-4B64-9BAC-69FF583B5A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96-4B64-9BAC-69FF583B5A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96-4B64-9BAC-69FF583B5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Sheet2!$G$12:$G$14</c:f>
              <c:strCache>
                <c:ptCount val="2"/>
                <c:pt idx="0">
                  <c:v>Full-Time</c:v>
                </c:pt>
                <c:pt idx="1">
                  <c:v>Temporary</c:v>
                </c:pt>
              </c:strCache>
            </c:strRef>
          </c:cat>
          <c:val>
            <c:numRef>
              <c:f>Sheet2!$H$12:$H$14</c:f>
              <c:numCache>
                <c:formatCode>General</c:formatCode>
                <c:ptCount val="2"/>
                <c:pt idx="0">
                  <c:v>1</c:v>
                </c:pt>
                <c:pt idx="1">
                  <c:v>2</c:v>
                </c:pt>
              </c:numCache>
            </c:numRef>
          </c:val>
          <c:extLst>
            <c:ext xmlns:c16="http://schemas.microsoft.com/office/drawing/2014/chart" uri="{C3380CC4-5D6E-409C-BE32-E72D297353CC}">
              <c16:uniqueId val="{00000000-60E0-4179-88F9-AB899332E4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HR.csv.xlsx]Sheet2!PivotTable2</c:name>
    <c:fmtId val="11"/>
  </c:pivotSource>
  <c:chart>
    <c:title>
      <c:layout>
        <c:manualLayout>
          <c:xMode val="edge"/>
          <c:yMode val="edge"/>
          <c:x val="0.47409356616104642"/>
          <c:y val="2.5927714340012179E-2"/>
        </c:manualLayout>
      </c:layout>
      <c:overlay val="0"/>
      <c:spPr>
        <a:noFill/>
        <a:ln>
          <a:noFill/>
        </a:ln>
        <a:effectLst/>
      </c:spPr>
      <c:txPr>
        <a:bodyPr rot="0" spcFirstLastPara="1" vertOverflow="ellipsis" vert="horz" wrap="square" anchor="ctr" anchorCtr="1"/>
        <a:lstStyle/>
        <a:p>
          <a:pPr>
            <a:defRPr sz="384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6553593276095E-2"/>
          <c:y val="0.14730490588189243"/>
          <c:w val="0.85849756957170753"/>
          <c:h val="0.72122957023010159"/>
        </c:manualLayout>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Sheet2!$A$4:$A$5</c:f>
              <c:strCache>
                <c:ptCount val="1"/>
                <c:pt idx="0">
                  <c:v>Area Sales Manager</c:v>
                </c:pt>
              </c:strCache>
            </c:strRef>
          </c:cat>
          <c:val>
            <c:numRef>
              <c:f>Sheet2!$B$4:$B$5</c:f>
              <c:numCache>
                <c:formatCode>General</c:formatCode>
                <c:ptCount val="1"/>
                <c:pt idx="0">
                  <c:v>169286</c:v>
                </c:pt>
              </c:numCache>
            </c:numRef>
          </c:val>
          <c:extLst>
            <c:ext xmlns:c16="http://schemas.microsoft.com/office/drawing/2014/chart" uri="{C3380CC4-5D6E-409C-BE32-E72D297353CC}">
              <c16:uniqueId val="{00000000-4BB4-4301-B047-3E2AE8527F9F}"/>
            </c:ext>
          </c:extLst>
        </c:ser>
        <c:dLbls>
          <c:dLblPos val="outEnd"/>
          <c:showLegendKey val="0"/>
          <c:showVal val="1"/>
          <c:showCatName val="0"/>
          <c:showSerName val="0"/>
          <c:showPercent val="0"/>
          <c:showBubbleSize val="0"/>
        </c:dLbls>
        <c:gapWidth val="164"/>
        <c:overlap val="-22"/>
        <c:axId val="211264287"/>
        <c:axId val="211252287"/>
      </c:barChart>
      <c:catAx>
        <c:axId val="2112642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211252287"/>
        <c:crosses val="autoZero"/>
        <c:auto val="1"/>
        <c:lblAlgn val="ctr"/>
        <c:lblOffset val="100"/>
        <c:noMultiLvlLbl val="0"/>
      </c:catAx>
      <c:valAx>
        <c:axId val="21125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21126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HR.csv.xlsx]Sheet2!PivotTable17</c:name>
    <c:fmtId val="8"/>
  </c:pivotSource>
  <c:chart>
    <c:title>
      <c:layout>
        <c:manualLayout>
          <c:xMode val="edge"/>
          <c:yMode val="edge"/>
          <c:x val="0.47190925948126733"/>
          <c:y val="3.5174544878852881E-2"/>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4939596092155147"/>
          <c:w val="0.74725196850393705"/>
          <c:h val="0.53774387576552929"/>
        </c:manualLayout>
      </c:layout>
      <c:lineChart>
        <c:grouping val="standard"/>
        <c:varyColors val="0"/>
        <c:ser>
          <c:idx val="0"/>
          <c:order val="0"/>
          <c:tx>
            <c:strRef>
              <c:f>Sheet2!$B$16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Sheet2!$A$17:$A$19</c:f>
              <c:strCache>
                <c:ptCount val="2"/>
                <c:pt idx="0">
                  <c:v>Production       </c:v>
                </c:pt>
                <c:pt idx="1">
                  <c:v>Sales</c:v>
                </c:pt>
              </c:strCache>
            </c:strRef>
          </c:cat>
          <c:val>
            <c:numRef>
              <c:f>Sheet2!$B$17:$B$19</c:f>
              <c:numCache>
                <c:formatCode>General</c:formatCode>
                <c:ptCount val="2"/>
                <c:pt idx="0">
                  <c:v>1</c:v>
                </c:pt>
                <c:pt idx="1">
                  <c:v>3</c:v>
                </c:pt>
              </c:numCache>
            </c:numRef>
          </c:val>
          <c:smooth val="0"/>
          <c:extLst>
            <c:ext xmlns:c16="http://schemas.microsoft.com/office/drawing/2014/chart" uri="{C3380CC4-5D6E-409C-BE32-E72D297353CC}">
              <c16:uniqueId val="{00000000-CC96-4FA7-8864-92A6D63649B7}"/>
            </c:ext>
          </c:extLst>
        </c:ser>
        <c:dLbls>
          <c:dLblPos val="t"/>
          <c:showLegendKey val="0"/>
          <c:showVal val="1"/>
          <c:showCatName val="0"/>
          <c:showSerName val="0"/>
          <c:showPercent val="0"/>
          <c:showBubbleSize val="0"/>
        </c:dLbls>
        <c:smooth val="0"/>
        <c:axId val="211271967"/>
        <c:axId val="211253247"/>
      </c:lineChart>
      <c:catAx>
        <c:axId val="21127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211253247"/>
        <c:crosses val="autoZero"/>
        <c:auto val="1"/>
        <c:lblAlgn val="ctr"/>
        <c:lblOffset val="100"/>
        <c:noMultiLvlLbl val="0"/>
      </c:catAx>
      <c:valAx>
        <c:axId val="2112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211271967"/>
        <c:crosses val="autoZero"/>
        <c:crossBetween val="between"/>
      </c:valAx>
      <c:spPr>
        <a:noFill/>
        <a:ln>
          <a:noFill/>
        </a:ln>
        <a:effectLst/>
      </c:spPr>
    </c:plotArea>
    <c:legend>
      <c:legendPos val="r"/>
      <c:layout>
        <c:manualLayout>
          <c:xMode val="edge"/>
          <c:yMode val="edge"/>
          <c:x val="0.89497985420059278"/>
          <c:y val="0.44601533644357211"/>
          <c:w val="7.0704357759221195E-2"/>
          <c:h val="4.135450209206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HR.csv.xlsx]Sheet2!PivotTable15</c:name>
    <c:fmtId val="7"/>
  </c:pivotSource>
  <c:chart>
    <c:title>
      <c:layout>
        <c:manualLayout>
          <c:xMode val="edge"/>
          <c:yMode val="edge"/>
          <c:x val="0.45973279263131217"/>
          <c:y val="2.5573523159039352E-2"/>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5795152034612764"/>
          <c:y val="0.16427501007623085"/>
          <c:w val="0.54502358633894399"/>
          <c:h val="0.73665790578319645"/>
        </c:manualLayout>
      </c:layout>
      <c:doughnutChart>
        <c:varyColors val="1"/>
        <c:ser>
          <c:idx val="0"/>
          <c:order val="0"/>
          <c:tx>
            <c:strRef>
              <c:f>Sheet2!$H$11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23-497F-B251-0B06DA02A5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23-497F-B251-0B06DA02A5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23-497F-B251-0B06DA02A5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23-497F-B251-0B06DA02A53C}"/>
              </c:ext>
            </c:extLst>
          </c:dPt>
          <c:dLbls>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Sheet2!$G$12:$G$14</c:f>
              <c:strCache>
                <c:ptCount val="2"/>
                <c:pt idx="0">
                  <c:v>Full-Time</c:v>
                </c:pt>
                <c:pt idx="1">
                  <c:v>Temporary</c:v>
                </c:pt>
              </c:strCache>
            </c:strRef>
          </c:cat>
          <c:val>
            <c:numRef>
              <c:f>Sheet2!$H$12:$H$14</c:f>
              <c:numCache>
                <c:formatCode>General</c:formatCode>
                <c:ptCount val="2"/>
                <c:pt idx="0">
                  <c:v>1</c:v>
                </c:pt>
                <c:pt idx="1">
                  <c:v>2</c:v>
                </c:pt>
              </c:numCache>
            </c:numRef>
          </c:val>
          <c:extLst>
            <c:ext xmlns:c16="http://schemas.microsoft.com/office/drawing/2014/chart" uri="{C3380CC4-5D6E-409C-BE32-E72D297353CC}">
              <c16:uniqueId val="{00000008-F323-497F-B251-0B06DA02A53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HR.csv.xlsx]Sheet2!PivotTable14</c:name>
    <c:fmtId val="11"/>
  </c:pivotSource>
  <c:chart>
    <c:title>
      <c:layout>
        <c:manualLayout>
          <c:xMode val="edge"/>
          <c:yMode val="edge"/>
          <c:x val="0.46609262841003812"/>
          <c:y val="2.9924290507482649E-2"/>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0.16408969616314442"/>
          <c:y val="0.24484495875388301"/>
          <c:w val="0.59154489148748657"/>
          <c:h val="0.64100271707110401"/>
        </c:manualLayout>
      </c:layout>
      <c:pieChart>
        <c:varyColors val="1"/>
        <c:ser>
          <c:idx val="0"/>
          <c:order val="0"/>
          <c:tx>
            <c:strRef>
              <c:f>Sheet2!$G$2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3F-41D3-B003-95957D370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3F-41D3-B003-95957D3706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3F-41D3-B003-95957D3706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3F-41D3-B003-95957D370656}"/>
              </c:ext>
            </c:extLst>
          </c:dPt>
          <c:dLbls>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Sheet2!$F$3:$F$4</c:f>
              <c:strCache>
                <c:ptCount val="1"/>
                <c:pt idx="0">
                  <c:v>Sales</c:v>
                </c:pt>
              </c:strCache>
            </c:strRef>
          </c:cat>
          <c:val>
            <c:numRef>
              <c:f>Sheet2!$G$3:$G$4</c:f>
              <c:numCache>
                <c:formatCode>General</c:formatCode>
                <c:ptCount val="1"/>
                <c:pt idx="0">
                  <c:v>3</c:v>
                </c:pt>
              </c:numCache>
            </c:numRef>
          </c:val>
          <c:extLst>
            <c:ext xmlns:c16="http://schemas.microsoft.com/office/drawing/2014/chart" uri="{C3380CC4-5D6E-409C-BE32-E72D297353CC}">
              <c16:uniqueId val="{00000008-813F-41D3-B003-95957D37065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plotArea>
      <cx:plotAreaRegion>
        <cx:series layoutId="treemap" uniqueId="{BF01037A-6E25-4BF6-9E3D-2FC674FEA2F6}" formatIdx="0">
          <cx:tx>
            <cx:txData>
              <cx:f>_xlchart.v1.1</cx:f>
              <cx:v/>
            </cx:txData>
          </cx:tx>
          <cx:dataLabels pos="inEnd">
            <cx:visibility seriesName="0" categoryName="1" value="0"/>
          </cx:dataLabels>
          <cx:dataId val="0"/>
          <cx:layoutPr>
            <cx:parentLabelLayout val="overlapping"/>
          </cx:layoutPr>
        </cx:series>
        <cx:series layoutId="treemap" hidden="1" uniqueId="{9D9FA221-7268-4B02-9EF3-C257F9F2ED00}" formatIdx="1">
          <cx:tx>
            <cx:txData>
              <cx:f>_xlchart.v1.3</cx:f>
              <cx:v/>
            </cx:txData>
          </cx:tx>
          <cx:dataLabels pos="inEnd">
            <cx:visibility seriesName="0" categoryName="1" value="0"/>
          </cx:dataLabels>
          <cx:dataId val="1"/>
          <cx:layoutPr>
            <cx:parentLabelLayout val="overlapping"/>
          </cx:layoutPr>
        </cx:series>
      </cx:plotAreaRegion>
    </cx:plotArea>
    <cx:legend pos="l"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tx>
        <cx:txData>
          <cx:v>Chart Title</cx:v>
        </cx:txData>
      </cx:tx>
      <cx:txPr>
        <a:bodyPr vertOverflow="overflow" horzOverflow="overflow" wrap="square" lIns="0" tIns="0" rIns="0" bIns="0"/>
        <a:lstStyle/>
        <a:p>
          <a:pPr algn="ctr" rtl="0">
            <a:defRPr sz="3200" b="0" i="0">
              <a:solidFill>
                <a:srgbClr val="595959"/>
              </a:solidFill>
              <a:latin typeface="Arial" panose="020B0604020202020204" pitchFamily="34" charset="0"/>
              <a:ea typeface="Arial" panose="020B0604020202020204" pitchFamily="34" charset="0"/>
              <a:cs typeface="Arial" panose="020B0604020202020204" pitchFamily="34" charset="0"/>
            </a:defRPr>
          </a:pPr>
          <a:r>
            <a:rPr lang="en-IN" sz="3200"/>
            <a:t>Chart Title</a:t>
          </a:r>
        </a:p>
      </cx:txPr>
    </cx:title>
    <cx:plotArea>
      <cx:plotAreaRegion>
        <cx:series layoutId="treemap" uniqueId="{BF01037A-6E25-4BF6-9E3D-2FC674FEA2F6}" formatIdx="0">
          <cx:tx>
            <cx:txData>
              <cx:f>_xlchart.v1.6</cx:f>
              <cx:v/>
            </cx:txData>
          </cx:tx>
          <cx:dataLabels pos="inEnd">
            <cx:txPr>
              <a:bodyPr vertOverflow="overflow" horzOverflow="overflow" wrap="square" lIns="0" tIns="0" rIns="0" bIns="0"/>
              <a:lstStyle/>
              <a:p>
                <a:pPr algn="ctr" rtl="0">
                  <a:defRPr sz="3200" b="0" i="0">
                    <a:solidFill>
                      <a:srgbClr val="FFFFFF"/>
                    </a:solidFill>
                    <a:latin typeface="Arial" panose="020B0604020202020204" pitchFamily="34" charset="0"/>
                    <a:ea typeface="Arial" panose="020B0604020202020204" pitchFamily="34" charset="0"/>
                    <a:cs typeface="Arial" panose="020B0604020202020204" pitchFamily="34" charset="0"/>
                  </a:defRPr>
                </a:pPr>
                <a:endParaRPr lang="en-IN" sz="3200"/>
              </a:p>
            </cx:txPr>
            <cx:visibility seriesName="0" categoryName="1" value="0"/>
          </cx:dataLabels>
          <cx:dataId val="0"/>
          <cx:layoutPr>
            <cx:parentLabelLayout val="overlapping"/>
          </cx:layoutPr>
        </cx:series>
        <cx:series layoutId="treemap" hidden="1" uniqueId="{9D9FA221-7268-4B02-9EF3-C257F9F2ED00}" formatIdx="1">
          <cx:tx>
            <cx:txData>
              <cx:f>_xlchart.v1.8</cx:f>
              <cx:v/>
            </cx:txData>
          </cx:tx>
          <cx:dataLabels pos="inEnd">
            <cx:txPr>
              <a:bodyPr vertOverflow="overflow" horzOverflow="overflow" wrap="square" lIns="0" tIns="0" rIns="0" bIns="0"/>
              <a:lstStyle/>
              <a:p>
                <a:pPr algn="ctr" rtl="0">
                  <a:defRPr sz="3200" b="0" i="0">
                    <a:solidFill>
                      <a:srgbClr val="FFFFFF"/>
                    </a:solidFill>
                    <a:latin typeface="Arial" panose="020B0604020202020204" pitchFamily="34" charset="0"/>
                    <a:ea typeface="Arial" panose="020B0604020202020204" pitchFamily="34" charset="0"/>
                    <a:cs typeface="Arial" panose="020B0604020202020204" pitchFamily="34" charset="0"/>
                  </a:defRPr>
                </a:pPr>
                <a:endParaRPr lang="en-IN" sz="3200"/>
              </a:p>
            </cx:txPr>
            <cx:visibility seriesName="0" categoryName="1" value="0"/>
          </cx:dataLabels>
          <cx:dataId val="1"/>
          <cx:layoutPr>
            <cx:parentLabelLayout val="overlapping"/>
          </cx:layoutPr>
        </cx:series>
      </cx:plotAreaRegion>
    </cx:plotArea>
    <cx:legend pos="l" align="ctr" overlay="0">
      <cx:txPr>
        <a:bodyPr vertOverflow="overflow" horzOverflow="overflow" wrap="square" lIns="0" tIns="0" rIns="0" bIns="0"/>
        <a:lstStyle/>
        <a:p>
          <a:pPr algn="ctr" rtl="0">
            <a:defRPr sz="32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IN" sz="3200"/>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6.svg"/><Relationship Id="rId5" Type="http://schemas.openxmlformats.org/officeDocument/2006/relationships/chart" Target="../charts/chart7.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chart" Target="../charts/chart8.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8</xdr:col>
      <xdr:colOff>264583</xdr:colOff>
      <xdr:row>0</xdr:row>
      <xdr:rowOff>74083</xdr:rowOff>
    </xdr:from>
    <xdr:to>
      <xdr:col>13</xdr:col>
      <xdr:colOff>550333</xdr:colOff>
      <xdr:row>15</xdr:row>
      <xdr:rowOff>118533</xdr:rowOff>
    </xdr:to>
    <xdr:graphicFrame macro="">
      <xdr:nvGraphicFramePr>
        <xdr:cNvPr id="2" name="Chart 1">
          <a:extLst>
            <a:ext uri="{FF2B5EF4-FFF2-40B4-BE49-F238E27FC236}">
              <a16:creationId xmlns:a16="http://schemas.microsoft.com/office/drawing/2014/main" id="{6F70598F-99C1-DDC7-D8AC-FEB2C9C2E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349250</xdr:colOff>
      <xdr:row>0</xdr:row>
      <xdr:rowOff>0</xdr:rowOff>
    </xdr:from>
    <xdr:to>
      <xdr:col>22</xdr:col>
      <xdr:colOff>10584</xdr:colOff>
      <xdr:row>15</xdr:row>
      <xdr:rowOff>44450</xdr:rowOff>
    </xdr:to>
    <xdr:graphicFrame macro="">
      <xdr:nvGraphicFramePr>
        <xdr:cNvPr id="3" name="Chart 2">
          <a:extLst>
            <a:ext uri="{FF2B5EF4-FFF2-40B4-BE49-F238E27FC236}">
              <a16:creationId xmlns:a16="http://schemas.microsoft.com/office/drawing/2014/main" id="{85E3D776-93E1-1D0C-0E07-9E609991F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232833</xdr:colOff>
      <xdr:row>16</xdr:row>
      <xdr:rowOff>141816</xdr:rowOff>
    </xdr:from>
    <xdr:to>
      <xdr:col>13</xdr:col>
      <xdr:colOff>518583</xdr:colOff>
      <xdr:row>32</xdr:row>
      <xdr:rowOff>6350</xdr:rowOff>
    </xdr:to>
    <xdr:graphicFrame macro="">
      <xdr:nvGraphicFramePr>
        <xdr:cNvPr id="4" name="Chart 3">
          <a:extLst>
            <a:ext uri="{FF2B5EF4-FFF2-40B4-BE49-F238E27FC236}">
              <a16:creationId xmlns:a16="http://schemas.microsoft.com/office/drawing/2014/main" id="{A16B533F-50BC-AE67-EB12-C05B0EDC4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380999</xdr:colOff>
      <xdr:row>18</xdr:row>
      <xdr:rowOff>66591</xdr:rowOff>
    </xdr:from>
    <xdr:to>
      <xdr:col>22</xdr:col>
      <xdr:colOff>42333</xdr:colOff>
      <xdr:row>33</xdr:row>
      <xdr:rowOff>111040</xdr:rowOff>
    </xdr:to>
    <xdr:graphicFrame macro="">
      <xdr:nvGraphicFramePr>
        <xdr:cNvPr id="5" name="Chart 4">
          <a:extLst>
            <a:ext uri="{FF2B5EF4-FFF2-40B4-BE49-F238E27FC236}">
              <a16:creationId xmlns:a16="http://schemas.microsoft.com/office/drawing/2014/main" id="{421F5D7C-21F8-BD4D-3497-5121E8F0D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547564</xdr:colOff>
      <xdr:row>32</xdr:row>
      <xdr:rowOff>138071</xdr:rowOff>
    </xdr:from>
    <xdr:to>
      <xdr:col>9</xdr:col>
      <xdr:colOff>574266</xdr:colOff>
      <xdr:row>47</xdr:row>
      <xdr:rowOff>182520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F262A76-647D-CD86-4457-6B8773ECF0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70284" y="5746391"/>
              <a:ext cx="4309142" cy="26657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164708</xdr:colOff>
      <xdr:row>37</xdr:row>
      <xdr:rowOff>100232</xdr:rowOff>
    </xdr:from>
    <xdr:to>
      <xdr:col>13</xdr:col>
      <xdr:colOff>574430</xdr:colOff>
      <xdr:row>60</xdr:row>
      <xdr:rowOff>82062</xdr:rowOff>
    </xdr:to>
    <mc:AlternateContent xmlns:mc="http://schemas.openxmlformats.org/markup-compatibility/2006" xmlns:a14="http://schemas.microsoft.com/office/drawing/2010/main">
      <mc:Choice Requires="a14">
        <xdr:graphicFrame macro="">
          <xdr:nvGraphicFramePr>
            <xdr:cNvPr id="7" name="tittle">
              <a:extLst>
                <a:ext uri="{FF2B5EF4-FFF2-40B4-BE49-F238E27FC236}">
                  <a16:creationId xmlns:a16="http://schemas.microsoft.com/office/drawing/2014/main" id="{F260624A-C20B-ABEF-9EA8-F269A4F3636E}"/>
                </a:ext>
              </a:extLst>
            </xdr:cNvPr>
            <xdr:cNvGraphicFramePr/>
          </xdr:nvGraphicFramePr>
          <xdr:xfrm>
            <a:off x="0" y="0"/>
            <a:ext cx="0" cy="0"/>
          </xdr:xfrm>
          <a:graphic>
            <a:graphicData uri="http://schemas.microsoft.com/office/drawing/2010/slicer">
              <sle:slicer xmlns:sle="http://schemas.microsoft.com/office/drawing/2010/slicer" name="tittle"/>
            </a:graphicData>
          </a:graphic>
        </xdr:graphicFrame>
      </mc:Choice>
      <mc:Fallback xmlns="">
        <xdr:sp macro="" textlink="">
          <xdr:nvSpPr>
            <xdr:cNvPr id="0" name=""/>
            <xdr:cNvSpPr>
              <a:spLocks noTextEdit="1"/>
            </xdr:cNvSpPr>
          </xdr:nvSpPr>
          <xdr:spPr>
            <a:xfrm>
              <a:off x="10187939" y="6606540"/>
              <a:ext cx="3926645" cy="4026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430161</xdr:colOff>
      <xdr:row>118</xdr:row>
      <xdr:rowOff>122903</xdr:rowOff>
    </xdr:to>
    <xdr:sp macro="" textlink="">
      <xdr:nvSpPr>
        <xdr:cNvPr id="2" name="Rectangle: Rounded Corners 1">
          <a:extLst>
            <a:ext uri="{FF2B5EF4-FFF2-40B4-BE49-F238E27FC236}">
              <a16:creationId xmlns:a16="http://schemas.microsoft.com/office/drawing/2014/main" id="{6AE2A6E2-61CD-2419-EE93-668F709079B9}"/>
            </a:ext>
          </a:extLst>
        </xdr:cNvPr>
        <xdr:cNvSpPr/>
      </xdr:nvSpPr>
      <xdr:spPr>
        <a:xfrm>
          <a:off x="0" y="0"/>
          <a:ext cx="41418387" cy="20426516"/>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solidFill>
              <a:schemeClr val="accent5"/>
            </a:solidFill>
          </a:endParaRPr>
        </a:p>
      </xdr:txBody>
    </xdr:sp>
    <xdr:clientData/>
  </xdr:twoCellAnchor>
  <xdr:twoCellAnchor>
    <xdr:from>
      <xdr:col>2</xdr:col>
      <xdr:colOff>12290</xdr:colOff>
      <xdr:row>1</xdr:row>
      <xdr:rowOff>142771</xdr:rowOff>
    </xdr:from>
    <xdr:to>
      <xdr:col>28</xdr:col>
      <xdr:colOff>454741</xdr:colOff>
      <xdr:row>9</xdr:row>
      <xdr:rowOff>10923</xdr:rowOff>
    </xdr:to>
    <xdr:sp macro="" textlink="">
      <xdr:nvSpPr>
        <xdr:cNvPr id="3" name="Rectangle: Rounded Corners 2">
          <a:extLst>
            <a:ext uri="{FF2B5EF4-FFF2-40B4-BE49-F238E27FC236}">
              <a16:creationId xmlns:a16="http://schemas.microsoft.com/office/drawing/2014/main" id="{FD1912EF-A92B-6FA5-B136-656BEA635291}"/>
            </a:ext>
          </a:extLst>
        </xdr:cNvPr>
        <xdr:cNvSpPr/>
      </xdr:nvSpPr>
      <xdr:spPr>
        <a:xfrm>
          <a:off x="2728452" y="314836"/>
          <a:ext cx="36035225" cy="1244668"/>
        </a:xfrm>
        <a:prstGeom prst="roundRect">
          <a:avLst/>
        </a:prstGeom>
        <a:solidFill>
          <a:schemeClr val="accent3"/>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7200" b="1" i="0">
              <a:solidFill>
                <a:schemeClr val="tx1"/>
              </a:solidFill>
              <a:latin typeface="Algerian" panose="04020705040A02060702" pitchFamily="82" charset="0"/>
            </a:rPr>
            <a:t>HR</a:t>
          </a:r>
          <a:r>
            <a:rPr lang="en-IN" sz="6000" i="0" baseline="0">
              <a:solidFill>
                <a:schemeClr val="tx1"/>
              </a:solidFill>
              <a:latin typeface="Algerian" panose="04020705040A02060702" pitchFamily="82" charset="0"/>
            </a:rPr>
            <a:t> </a:t>
          </a:r>
          <a:r>
            <a:rPr lang="en-IN" sz="6000" i="0" baseline="0">
              <a:solidFill>
                <a:schemeClr val="tx1"/>
              </a:solidFill>
            </a:rPr>
            <a:t>-</a:t>
          </a:r>
          <a:r>
            <a:rPr lang="en-IN" sz="6000" b="1" i="0" u="none" baseline="0">
              <a:solidFill>
                <a:schemeClr val="tx1"/>
              </a:solidFill>
              <a:latin typeface="Algerian" panose="04020705040A02060702" pitchFamily="82" charset="0"/>
            </a:rPr>
            <a:t>DASHBOARD</a:t>
          </a:r>
          <a:endParaRPr lang="en-IN" sz="6000" b="1" i="0" u="none">
            <a:solidFill>
              <a:schemeClr val="tx1"/>
            </a:solidFill>
            <a:latin typeface="Algerian" panose="04020705040A02060702" pitchFamily="82" charset="0"/>
          </a:endParaRPr>
        </a:p>
      </xdr:txBody>
    </xdr:sp>
    <xdr:clientData/>
  </xdr:twoCellAnchor>
  <xdr:twoCellAnchor>
    <xdr:from>
      <xdr:col>5</xdr:col>
      <xdr:colOff>228522</xdr:colOff>
      <xdr:row>10</xdr:row>
      <xdr:rowOff>73742</xdr:rowOff>
    </xdr:from>
    <xdr:to>
      <xdr:col>9</xdr:col>
      <xdr:colOff>614516</xdr:colOff>
      <xdr:row>19</xdr:row>
      <xdr:rowOff>20739</xdr:rowOff>
    </xdr:to>
    <xdr:sp macro="" textlink="">
      <xdr:nvSpPr>
        <xdr:cNvPr id="9" name="Rectangle: Rounded Corners 8">
          <a:extLst>
            <a:ext uri="{FF2B5EF4-FFF2-40B4-BE49-F238E27FC236}">
              <a16:creationId xmlns:a16="http://schemas.microsoft.com/office/drawing/2014/main" id="{A4AD2E63-2060-692E-E5A3-A3E74C708D6E}"/>
            </a:ext>
          </a:extLst>
        </xdr:cNvPr>
        <xdr:cNvSpPr/>
      </xdr:nvSpPr>
      <xdr:spPr>
        <a:xfrm>
          <a:off x="7216721" y="1794387"/>
          <a:ext cx="6179731" cy="14955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302981</xdr:colOff>
      <xdr:row>10</xdr:row>
      <xdr:rowOff>52439</xdr:rowOff>
    </xdr:from>
    <xdr:to>
      <xdr:col>15</xdr:col>
      <xdr:colOff>0</xdr:colOff>
      <xdr:row>18</xdr:row>
      <xdr:rowOff>164971</xdr:rowOff>
    </xdr:to>
    <xdr:sp macro="" textlink="">
      <xdr:nvSpPr>
        <xdr:cNvPr id="11" name="Rectangle: Rounded Corners 10">
          <a:extLst>
            <a:ext uri="{FF2B5EF4-FFF2-40B4-BE49-F238E27FC236}">
              <a16:creationId xmlns:a16="http://schemas.microsoft.com/office/drawing/2014/main" id="{C6FB84B6-C79E-41CB-93EC-AE09602E6329}"/>
            </a:ext>
          </a:extLst>
        </xdr:cNvPr>
        <xdr:cNvSpPr/>
      </xdr:nvSpPr>
      <xdr:spPr>
        <a:xfrm>
          <a:off x="14125317" y="1773084"/>
          <a:ext cx="6153715" cy="14890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366250</xdr:colOff>
      <xdr:row>10</xdr:row>
      <xdr:rowOff>24580</xdr:rowOff>
    </xdr:from>
    <xdr:to>
      <xdr:col>19</xdr:col>
      <xdr:colOff>626806</xdr:colOff>
      <xdr:row>18</xdr:row>
      <xdr:rowOff>143642</xdr:rowOff>
    </xdr:to>
    <xdr:sp macro="" textlink="">
      <xdr:nvSpPr>
        <xdr:cNvPr id="13" name="Rectangle: Rounded Corners 12">
          <a:extLst>
            <a:ext uri="{FF2B5EF4-FFF2-40B4-BE49-F238E27FC236}">
              <a16:creationId xmlns:a16="http://schemas.microsoft.com/office/drawing/2014/main" id="{F939D3C5-4290-43F9-8CE3-DC637523149D}"/>
            </a:ext>
          </a:extLst>
        </xdr:cNvPr>
        <xdr:cNvSpPr/>
      </xdr:nvSpPr>
      <xdr:spPr>
        <a:xfrm>
          <a:off x="21011532" y="1745225"/>
          <a:ext cx="5928855" cy="14955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214695</xdr:colOff>
      <xdr:row>10</xdr:row>
      <xdr:rowOff>28677</xdr:rowOff>
    </xdr:from>
    <xdr:to>
      <xdr:col>24</xdr:col>
      <xdr:colOff>602225</xdr:colOff>
      <xdr:row>18</xdr:row>
      <xdr:rowOff>141209</xdr:rowOff>
    </xdr:to>
    <xdr:sp macro="" textlink="">
      <xdr:nvSpPr>
        <xdr:cNvPr id="15" name="Rectangle: Rounded Corners 14">
          <a:extLst>
            <a:ext uri="{FF2B5EF4-FFF2-40B4-BE49-F238E27FC236}">
              <a16:creationId xmlns:a16="http://schemas.microsoft.com/office/drawing/2014/main" id="{292DA0A4-770A-45B8-9C39-06909DDFF03F}"/>
            </a:ext>
          </a:extLst>
        </xdr:cNvPr>
        <xdr:cNvSpPr/>
      </xdr:nvSpPr>
      <xdr:spPr>
        <a:xfrm>
          <a:off x="27468100" y="1749322"/>
          <a:ext cx="6182803" cy="14890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500444</xdr:colOff>
      <xdr:row>10</xdr:row>
      <xdr:rowOff>96019</xdr:rowOff>
    </xdr:from>
    <xdr:to>
      <xdr:col>5</xdr:col>
      <xdr:colOff>36870</xdr:colOff>
      <xdr:row>19</xdr:row>
      <xdr:rowOff>36488</xdr:rowOff>
    </xdr:to>
    <xdr:sp macro="" textlink="">
      <xdr:nvSpPr>
        <xdr:cNvPr id="17" name="Rectangle: Rounded Corners 16">
          <a:extLst>
            <a:ext uri="{FF2B5EF4-FFF2-40B4-BE49-F238E27FC236}">
              <a16:creationId xmlns:a16="http://schemas.microsoft.com/office/drawing/2014/main" id="{D0AC4469-3597-4DDB-8BFE-567258D0D44C}"/>
            </a:ext>
          </a:extLst>
        </xdr:cNvPr>
        <xdr:cNvSpPr/>
      </xdr:nvSpPr>
      <xdr:spPr>
        <a:xfrm>
          <a:off x="1000889" y="1816664"/>
          <a:ext cx="5832529" cy="14890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196285</xdr:colOff>
      <xdr:row>10</xdr:row>
      <xdr:rowOff>31600</xdr:rowOff>
    </xdr:from>
    <xdr:to>
      <xdr:col>29</xdr:col>
      <xdr:colOff>663677</xdr:colOff>
      <xdr:row>18</xdr:row>
      <xdr:rowOff>144132</xdr:rowOff>
    </xdr:to>
    <xdr:sp macro="" textlink="">
      <xdr:nvSpPr>
        <xdr:cNvPr id="19" name="Rectangle: Rounded Corners 18">
          <a:extLst>
            <a:ext uri="{FF2B5EF4-FFF2-40B4-BE49-F238E27FC236}">
              <a16:creationId xmlns:a16="http://schemas.microsoft.com/office/drawing/2014/main" id="{B69C8C9D-F806-4F16-95C3-99C2B8D13509}"/>
            </a:ext>
          </a:extLst>
        </xdr:cNvPr>
        <xdr:cNvSpPr/>
      </xdr:nvSpPr>
      <xdr:spPr>
        <a:xfrm>
          <a:off x="34190958" y="1752245"/>
          <a:ext cx="6342525" cy="14890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500446</xdr:colOff>
      <xdr:row>10</xdr:row>
      <xdr:rowOff>84111</xdr:rowOff>
    </xdr:from>
    <xdr:to>
      <xdr:col>3</xdr:col>
      <xdr:colOff>250414</xdr:colOff>
      <xdr:row>19</xdr:row>
      <xdr:rowOff>48393</xdr:rowOff>
    </xdr:to>
    <xdr:sp macro="" textlink="">
      <xdr:nvSpPr>
        <xdr:cNvPr id="21" name="Rectangle: Rounded Corners 20">
          <a:extLst>
            <a:ext uri="{FF2B5EF4-FFF2-40B4-BE49-F238E27FC236}">
              <a16:creationId xmlns:a16="http://schemas.microsoft.com/office/drawing/2014/main" id="{D4BFB28F-09E6-653D-3705-F1294D3A515F}"/>
            </a:ext>
          </a:extLst>
        </xdr:cNvPr>
        <xdr:cNvSpPr/>
      </xdr:nvSpPr>
      <xdr:spPr>
        <a:xfrm>
          <a:off x="1000892" y="1804756"/>
          <a:ext cx="3555743" cy="15128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251505</xdr:colOff>
      <xdr:row>10</xdr:row>
      <xdr:rowOff>54078</xdr:rowOff>
    </xdr:from>
    <xdr:to>
      <xdr:col>7</xdr:col>
      <xdr:colOff>608693</xdr:colOff>
      <xdr:row>19</xdr:row>
      <xdr:rowOff>19152</xdr:rowOff>
    </xdr:to>
    <xdr:sp macro="" textlink="">
      <xdr:nvSpPr>
        <xdr:cNvPr id="23" name="Rectangle: Rounded Corners 22">
          <a:extLst>
            <a:ext uri="{FF2B5EF4-FFF2-40B4-BE49-F238E27FC236}">
              <a16:creationId xmlns:a16="http://schemas.microsoft.com/office/drawing/2014/main" id="{64648282-B9F5-4FF6-B76C-2E05E2C9F960}"/>
            </a:ext>
          </a:extLst>
        </xdr:cNvPr>
        <xdr:cNvSpPr/>
      </xdr:nvSpPr>
      <xdr:spPr>
        <a:xfrm>
          <a:off x="7262687" y="1774723"/>
          <a:ext cx="3418247" cy="151365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302572</xdr:colOff>
      <xdr:row>10</xdr:row>
      <xdr:rowOff>41326</xdr:rowOff>
    </xdr:from>
    <xdr:to>
      <xdr:col>12</xdr:col>
      <xdr:colOff>659759</xdr:colOff>
      <xdr:row>19</xdr:row>
      <xdr:rowOff>5606</xdr:rowOff>
    </xdr:to>
    <xdr:sp macro="" textlink="">
      <xdr:nvSpPr>
        <xdr:cNvPr id="25" name="Rectangle: Rounded Corners 24">
          <a:extLst>
            <a:ext uri="{FF2B5EF4-FFF2-40B4-BE49-F238E27FC236}">
              <a16:creationId xmlns:a16="http://schemas.microsoft.com/office/drawing/2014/main" id="{D08BB2CB-DEDF-4E76-AD90-F9736AE39B3C}"/>
            </a:ext>
          </a:extLst>
        </xdr:cNvPr>
        <xdr:cNvSpPr/>
      </xdr:nvSpPr>
      <xdr:spPr>
        <a:xfrm>
          <a:off x="14124500" y="1761971"/>
          <a:ext cx="3418244" cy="151286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368247</xdr:colOff>
      <xdr:row>10</xdr:row>
      <xdr:rowOff>25399</xdr:rowOff>
    </xdr:from>
    <xdr:to>
      <xdr:col>17</xdr:col>
      <xdr:colOff>614516</xdr:colOff>
      <xdr:row>18</xdr:row>
      <xdr:rowOff>168274</xdr:rowOff>
    </xdr:to>
    <xdr:sp macro="" textlink="">
      <xdr:nvSpPr>
        <xdr:cNvPr id="27" name="Rectangle: Rounded Corners 26">
          <a:extLst>
            <a:ext uri="{FF2B5EF4-FFF2-40B4-BE49-F238E27FC236}">
              <a16:creationId xmlns:a16="http://schemas.microsoft.com/office/drawing/2014/main" id="{3079979D-0AFA-422F-81FA-CD6C93ADE4EA}"/>
            </a:ext>
          </a:extLst>
        </xdr:cNvPr>
        <xdr:cNvSpPr/>
      </xdr:nvSpPr>
      <xdr:spPr>
        <a:xfrm>
          <a:off x="21015526" y="1746044"/>
          <a:ext cx="3196409" cy="151939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226986</xdr:colOff>
      <xdr:row>9</xdr:row>
      <xdr:rowOff>167455</xdr:rowOff>
    </xdr:from>
    <xdr:to>
      <xdr:col>22</xdr:col>
      <xdr:colOff>368710</xdr:colOff>
      <xdr:row>18</xdr:row>
      <xdr:rowOff>131736</xdr:rowOff>
    </xdr:to>
    <xdr:sp macro="" textlink="">
      <xdr:nvSpPr>
        <xdr:cNvPr id="29" name="Rectangle: Rounded Corners 28">
          <a:extLst>
            <a:ext uri="{FF2B5EF4-FFF2-40B4-BE49-F238E27FC236}">
              <a16:creationId xmlns:a16="http://schemas.microsoft.com/office/drawing/2014/main" id="{EFDC9241-3871-4963-A521-1F0C5999C4AE}"/>
            </a:ext>
          </a:extLst>
        </xdr:cNvPr>
        <xdr:cNvSpPr/>
      </xdr:nvSpPr>
      <xdr:spPr>
        <a:xfrm>
          <a:off x="27492683" y="1716036"/>
          <a:ext cx="2987318" cy="151286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187426</xdr:colOff>
      <xdr:row>10</xdr:row>
      <xdr:rowOff>45321</xdr:rowOff>
    </xdr:from>
    <xdr:to>
      <xdr:col>27</xdr:col>
      <xdr:colOff>613363</xdr:colOff>
      <xdr:row>19</xdr:row>
      <xdr:rowOff>9601</xdr:rowOff>
    </xdr:to>
    <xdr:sp macro="" textlink="">
      <xdr:nvSpPr>
        <xdr:cNvPr id="31" name="Rectangle: Rounded Corners 30">
          <a:extLst>
            <a:ext uri="{FF2B5EF4-FFF2-40B4-BE49-F238E27FC236}">
              <a16:creationId xmlns:a16="http://schemas.microsoft.com/office/drawing/2014/main" id="{BC235BCC-6839-4357-A3D1-70481664EC10}"/>
            </a:ext>
          </a:extLst>
        </xdr:cNvPr>
        <xdr:cNvSpPr/>
      </xdr:nvSpPr>
      <xdr:spPr>
        <a:xfrm>
          <a:off x="34173240" y="1765966"/>
          <a:ext cx="3555745" cy="151286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344129</xdr:colOff>
      <xdr:row>11</xdr:row>
      <xdr:rowOff>36488</xdr:rowOff>
    </xdr:from>
    <xdr:to>
      <xdr:col>5</xdr:col>
      <xdr:colOff>177441</xdr:colOff>
      <xdr:row>13</xdr:row>
      <xdr:rowOff>72206</xdr:rowOff>
    </xdr:to>
    <xdr:sp macro="" textlink="">
      <xdr:nvSpPr>
        <xdr:cNvPr id="32" name="TextBox 31">
          <a:extLst>
            <a:ext uri="{FF2B5EF4-FFF2-40B4-BE49-F238E27FC236}">
              <a16:creationId xmlns:a16="http://schemas.microsoft.com/office/drawing/2014/main" id="{C702C0DD-A1D0-140E-BA25-890636901D91}"/>
            </a:ext>
          </a:extLst>
        </xdr:cNvPr>
        <xdr:cNvSpPr txBox="1"/>
      </xdr:nvSpPr>
      <xdr:spPr>
        <a:xfrm>
          <a:off x="4744064" y="1929198"/>
          <a:ext cx="2370495" cy="379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400" b="1"/>
            <a:t>e- rating</a:t>
          </a:r>
        </a:p>
      </xdr:txBody>
    </xdr:sp>
    <xdr:clientData/>
  </xdr:twoCellAnchor>
  <xdr:twoCellAnchor>
    <xdr:from>
      <xdr:col>8</xdr:col>
      <xdr:colOff>523875</xdr:colOff>
      <xdr:row>30</xdr:row>
      <xdr:rowOff>59531</xdr:rowOff>
    </xdr:from>
    <xdr:to>
      <xdr:col>10</xdr:col>
      <xdr:colOff>476250</xdr:colOff>
      <xdr:row>32</xdr:row>
      <xdr:rowOff>119064</xdr:rowOff>
    </xdr:to>
    <xdr:sp macro="" textlink="">
      <xdr:nvSpPr>
        <xdr:cNvPr id="37" name="TextBox 36">
          <a:extLst>
            <a:ext uri="{FF2B5EF4-FFF2-40B4-BE49-F238E27FC236}">
              <a16:creationId xmlns:a16="http://schemas.microsoft.com/office/drawing/2014/main" id="{3243D388-673D-9649-9F99-63D5177DA071}"/>
            </a:ext>
          </a:extLst>
        </xdr:cNvPr>
        <xdr:cNvSpPr txBox="1"/>
      </xdr:nvSpPr>
      <xdr:spPr>
        <a:xfrm>
          <a:off x="5381625" y="5417344"/>
          <a:ext cx="1166813" cy="41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257326</xdr:colOff>
      <xdr:row>14</xdr:row>
      <xdr:rowOff>73742</xdr:rowOff>
    </xdr:from>
    <xdr:to>
      <xdr:col>5</xdr:col>
      <xdr:colOff>7294</xdr:colOff>
      <xdr:row>17</xdr:row>
      <xdr:rowOff>85648</xdr:rowOff>
    </xdr:to>
    <xdr:sp macro="" textlink="'dashboard HR'!AD4">
      <xdr:nvSpPr>
        <xdr:cNvPr id="38" name="TextBox 37">
          <a:extLst>
            <a:ext uri="{FF2B5EF4-FFF2-40B4-BE49-F238E27FC236}">
              <a16:creationId xmlns:a16="http://schemas.microsoft.com/office/drawing/2014/main" id="{91CA2789-47BB-5132-1314-CDC5519C98B4}"/>
            </a:ext>
          </a:extLst>
        </xdr:cNvPr>
        <xdr:cNvSpPr txBox="1"/>
      </xdr:nvSpPr>
      <xdr:spPr>
        <a:xfrm>
          <a:off x="4570458" y="2482645"/>
          <a:ext cx="2203807" cy="528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8D725FE-B8C2-4375-81C7-1BC59D3F7F62}" type="TxLink">
            <a:rPr lang="en-US" sz="2800" b="1" i="0" u="none" strike="noStrike">
              <a:solidFill>
                <a:srgbClr val="000000"/>
              </a:solidFill>
              <a:latin typeface="Calibri"/>
              <a:ea typeface="Calibri"/>
              <a:cs typeface="Calibri"/>
            </a:rPr>
            <a:pPr algn="ctr"/>
            <a:t>150</a:t>
          </a:fld>
          <a:endParaRPr lang="en-IN" sz="2800" b="1"/>
        </a:p>
      </xdr:txBody>
    </xdr:sp>
    <xdr:clientData/>
  </xdr:twoCellAnchor>
  <xdr:twoCellAnchor>
    <xdr:from>
      <xdr:col>8</xdr:col>
      <xdr:colOff>45319</xdr:colOff>
      <xdr:row>11</xdr:row>
      <xdr:rowOff>8064</xdr:rowOff>
    </xdr:from>
    <xdr:to>
      <xdr:col>9</xdr:col>
      <xdr:colOff>473944</xdr:colOff>
      <xdr:row>15</xdr:row>
      <xdr:rowOff>132505</xdr:rowOff>
    </xdr:to>
    <xdr:sp macro="" textlink="">
      <xdr:nvSpPr>
        <xdr:cNvPr id="39" name="TextBox 38">
          <a:extLst>
            <a:ext uri="{FF2B5EF4-FFF2-40B4-BE49-F238E27FC236}">
              <a16:creationId xmlns:a16="http://schemas.microsoft.com/office/drawing/2014/main" id="{31059E71-526D-2D1E-D0D4-E3CBA759E84A}"/>
            </a:ext>
          </a:extLst>
        </xdr:cNvPr>
        <xdr:cNvSpPr txBox="1"/>
      </xdr:nvSpPr>
      <xdr:spPr>
        <a:xfrm>
          <a:off x="10906123" y="1900774"/>
          <a:ext cx="2209185" cy="812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e-score</a:t>
          </a:r>
        </a:p>
      </xdr:txBody>
    </xdr:sp>
    <xdr:clientData/>
  </xdr:twoCellAnchor>
  <xdr:twoCellAnchor>
    <xdr:from>
      <xdr:col>8</xdr:col>
      <xdr:colOff>90639</xdr:colOff>
      <xdr:row>14</xdr:row>
      <xdr:rowOff>85647</xdr:rowOff>
    </xdr:from>
    <xdr:to>
      <xdr:col>9</xdr:col>
      <xdr:colOff>304952</xdr:colOff>
      <xdr:row>18</xdr:row>
      <xdr:rowOff>97552</xdr:rowOff>
    </xdr:to>
    <xdr:sp macro="" textlink="'dashboard HR'!AD7">
      <xdr:nvSpPr>
        <xdr:cNvPr id="40" name="TextBox 39">
          <a:extLst>
            <a:ext uri="{FF2B5EF4-FFF2-40B4-BE49-F238E27FC236}">
              <a16:creationId xmlns:a16="http://schemas.microsoft.com/office/drawing/2014/main" id="{525E5E58-9B05-7137-6DB6-E290E9C51B2A}"/>
            </a:ext>
          </a:extLst>
        </xdr:cNvPr>
        <xdr:cNvSpPr txBox="1"/>
      </xdr:nvSpPr>
      <xdr:spPr>
        <a:xfrm>
          <a:off x="10996763" y="2494550"/>
          <a:ext cx="1780561" cy="700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1197D3-B47D-4C83-82BD-0FE7089391A6}" type="TxLink">
            <a:rPr lang="en-US" sz="2800" b="1" i="0" u="none" strike="noStrike">
              <a:solidFill>
                <a:srgbClr val="000000"/>
              </a:solidFill>
              <a:latin typeface="Calibri"/>
              <a:ea typeface="Calibri"/>
              <a:cs typeface="Calibri"/>
            </a:rPr>
            <a:pPr algn="ctr"/>
            <a:t>147</a:t>
          </a:fld>
          <a:endParaRPr lang="en-IN" sz="2800" b="1"/>
        </a:p>
      </xdr:txBody>
    </xdr:sp>
    <xdr:clientData/>
  </xdr:twoCellAnchor>
  <xdr:twoCellAnchor>
    <xdr:from>
      <xdr:col>13</xdr:col>
      <xdr:colOff>86033</xdr:colOff>
      <xdr:row>11</xdr:row>
      <xdr:rowOff>45318</xdr:rowOff>
    </xdr:from>
    <xdr:to>
      <xdr:col>14</xdr:col>
      <xdr:colOff>490846</xdr:colOff>
      <xdr:row>14</xdr:row>
      <xdr:rowOff>45320</xdr:rowOff>
    </xdr:to>
    <xdr:sp macro="" textlink="">
      <xdr:nvSpPr>
        <xdr:cNvPr id="41" name="TextBox 40">
          <a:extLst>
            <a:ext uri="{FF2B5EF4-FFF2-40B4-BE49-F238E27FC236}">
              <a16:creationId xmlns:a16="http://schemas.microsoft.com/office/drawing/2014/main" id="{66F9DB33-735A-278D-98CD-4C051599E3CA}"/>
            </a:ext>
          </a:extLst>
        </xdr:cNvPr>
        <xdr:cNvSpPr txBox="1"/>
      </xdr:nvSpPr>
      <xdr:spPr>
        <a:xfrm>
          <a:off x="17747228" y="1938028"/>
          <a:ext cx="2161561" cy="516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s-score</a:t>
          </a:r>
        </a:p>
      </xdr:txBody>
    </xdr:sp>
    <xdr:clientData/>
  </xdr:twoCellAnchor>
  <xdr:twoCellAnchor>
    <xdr:from>
      <xdr:col>13</xdr:col>
      <xdr:colOff>91574</xdr:colOff>
      <xdr:row>14</xdr:row>
      <xdr:rowOff>130971</xdr:rowOff>
    </xdr:from>
    <xdr:to>
      <xdr:col>14</xdr:col>
      <xdr:colOff>520198</xdr:colOff>
      <xdr:row>18</xdr:row>
      <xdr:rowOff>71438</xdr:rowOff>
    </xdr:to>
    <xdr:sp macro="" textlink="'dashboard HR'!AD10">
      <xdr:nvSpPr>
        <xdr:cNvPr id="42" name="TextBox 41">
          <a:extLst>
            <a:ext uri="{FF2B5EF4-FFF2-40B4-BE49-F238E27FC236}">
              <a16:creationId xmlns:a16="http://schemas.microsoft.com/office/drawing/2014/main" id="{22CEC67E-1F1B-65FF-BB3C-15796AEFD7FA}"/>
            </a:ext>
          </a:extLst>
        </xdr:cNvPr>
        <xdr:cNvSpPr txBox="1"/>
      </xdr:nvSpPr>
      <xdr:spPr>
        <a:xfrm>
          <a:off x="17758309" y="2539874"/>
          <a:ext cx="2209185" cy="628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C24C71-35E6-444A-9B97-754DC343DDE9}" type="TxLink">
            <a:rPr lang="en-US" sz="2800" b="1" i="0" u="none" strike="noStrike">
              <a:solidFill>
                <a:srgbClr val="000000"/>
              </a:solidFill>
              <a:latin typeface="Calibri"/>
              <a:ea typeface="Calibri"/>
              <a:cs typeface="Calibri"/>
            </a:rPr>
            <a:pPr algn="ctr"/>
            <a:t>152</a:t>
          </a:fld>
          <a:endParaRPr lang="en-IN" sz="2800" b="1"/>
        </a:p>
      </xdr:txBody>
    </xdr:sp>
    <xdr:clientData/>
  </xdr:twoCellAnchor>
  <xdr:twoCellAnchor>
    <xdr:from>
      <xdr:col>18</xdr:col>
      <xdr:colOff>39175</xdr:colOff>
      <xdr:row>11</xdr:row>
      <xdr:rowOff>20740</xdr:rowOff>
    </xdr:from>
    <xdr:to>
      <xdr:col>19</xdr:col>
      <xdr:colOff>536548</xdr:colOff>
      <xdr:row>14</xdr:row>
      <xdr:rowOff>43445</xdr:rowOff>
    </xdr:to>
    <xdr:sp macro="" textlink="">
      <xdr:nvSpPr>
        <xdr:cNvPr id="43" name="TextBox 42">
          <a:extLst>
            <a:ext uri="{FF2B5EF4-FFF2-40B4-BE49-F238E27FC236}">
              <a16:creationId xmlns:a16="http://schemas.microsoft.com/office/drawing/2014/main" id="{8E78CD2C-4D99-68AD-E71F-7B5773454D03}"/>
            </a:ext>
          </a:extLst>
        </xdr:cNvPr>
        <xdr:cNvSpPr txBox="1"/>
      </xdr:nvSpPr>
      <xdr:spPr>
        <a:xfrm>
          <a:off x="24413190" y="1913450"/>
          <a:ext cx="2346681" cy="5388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cost min</a:t>
          </a:r>
        </a:p>
      </xdr:txBody>
    </xdr:sp>
    <xdr:clientData/>
  </xdr:twoCellAnchor>
  <xdr:twoCellAnchor>
    <xdr:from>
      <xdr:col>18</xdr:col>
      <xdr:colOff>58994</xdr:colOff>
      <xdr:row>14</xdr:row>
      <xdr:rowOff>120546</xdr:rowOff>
    </xdr:from>
    <xdr:to>
      <xdr:col>19</xdr:col>
      <xdr:colOff>580180</xdr:colOff>
      <xdr:row>16</xdr:row>
      <xdr:rowOff>156266</xdr:rowOff>
    </xdr:to>
    <xdr:sp macro="" textlink="'dashboard HR'!AD13">
      <xdr:nvSpPr>
        <xdr:cNvPr id="44" name="TextBox 43">
          <a:extLst>
            <a:ext uri="{FF2B5EF4-FFF2-40B4-BE49-F238E27FC236}">
              <a16:creationId xmlns:a16="http://schemas.microsoft.com/office/drawing/2014/main" id="{95554C3A-9DF0-DD51-098E-47AAB161FF75}"/>
            </a:ext>
          </a:extLst>
        </xdr:cNvPr>
        <xdr:cNvSpPr txBox="1"/>
      </xdr:nvSpPr>
      <xdr:spPr>
        <a:xfrm>
          <a:off x="24452828" y="2529449"/>
          <a:ext cx="2394307" cy="3798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C12551-9206-4235-81BA-1D0C7B920CF5}" type="TxLink">
            <a:rPr lang="en-US" sz="2800" b="1" i="0" u="none" strike="noStrike">
              <a:solidFill>
                <a:srgbClr val="000000"/>
              </a:solidFill>
              <a:latin typeface="Calibri"/>
              <a:ea typeface="Calibri"/>
              <a:cs typeface="Calibri"/>
            </a:rPr>
            <a:pPr algn="ctr"/>
            <a:t>109.98</a:t>
          </a:fld>
          <a:endParaRPr lang="en-IN" sz="2800" b="1"/>
        </a:p>
      </xdr:txBody>
    </xdr:sp>
    <xdr:clientData/>
  </xdr:twoCellAnchor>
  <xdr:twoCellAnchor>
    <xdr:from>
      <xdr:col>22</xdr:col>
      <xdr:colOff>513120</xdr:colOff>
      <xdr:row>11</xdr:row>
      <xdr:rowOff>44552</xdr:rowOff>
    </xdr:from>
    <xdr:to>
      <xdr:col>24</xdr:col>
      <xdr:colOff>322620</xdr:colOff>
      <xdr:row>13</xdr:row>
      <xdr:rowOff>68365</xdr:rowOff>
    </xdr:to>
    <xdr:sp macro="" textlink="">
      <xdr:nvSpPr>
        <xdr:cNvPr id="45" name="TextBox 44">
          <a:extLst>
            <a:ext uri="{FF2B5EF4-FFF2-40B4-BE49-F238E27FC236}">
              <a16:creationId xmlns:a16="http://schemas.microsoft.com/office/drawing/2014/main" id="{FBF53371-B8E6-AE19-A8C8-9829AA9B470B}"/>
            </a:ext>
          </a:extLst>
        </xdr:cNvPr>
        <xdr:cNvSpPr txBox="1"/>
      </xdr:nvSpPr>
      <xdr:spPr>
        <a:xfrm>
          <a:off x="30768822" y="1937262"/>
          <a:ext cx="2322870" cy="367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cost max</a:t>
          </a:r>
        </a:p>
      </xdr:txBody>
    </xdr:sp>
    <xdr:clientData/>
  </xdr:twoCellAnchor>
  <xdr:twoCellAnchor>
    <xdr:from>
      <xdr:col>22</xdr:col>
      <xdr:colOff>512735</xdr:colOff>
      <xdr:row>14</xdr:row>
      <xdr:rowOff>97555</xdr:rowOff>
    </xdr:from>
    <xdr:to>
      <xdr:col>24</xdr:col>
      <xdr:colOff>369861</xdr:colOff>
      <xdr:row>17</xdr:row>
      <xdr:rowOff>109462</xdr:rowOff>
    </xdr:to>
    <xdr:sp macro="" textlink="'dashboard HR'!AD16">
      <xdr:nvSpPr>
        <xdr:cNvPr id="46" name="TextBox 45">
          <a:extLst>
            <a:ext uri="{FF2B5EF4-FFF2-40B4-BE49-F238E27FC236}">
              <a16:creationId xmlns:a16="http://schemas.microsoft.com/office/drawing/2014/main" id="{F629C10E-E07B-C493-BB2C-EACD3D7FBE48}"/>
            </a:ext>
          </a:extLst>
        </xdr:cNvPr>
        <xdr:cNvSpPr txBox="1"/>
      </xdr:nvSpPr>
      <xdr:spPr>
        <a:xfrm>
          <a:off x="30768051" y="2506458"/>
          <a:ext cx="2418124" cy="528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E4022D-4964-4EA3-A17E-2DF8244773A7}" type="TxLink">
            <a:rPr lang="en-US" sz="2800" b="1" i="0" u="none" strike="noStrike">
              <a:solidFill>
                <a:srgbClr val="000000"/>
              </a:solidFill>
              <a:latin typeface="Calibri"/>
              <a:ea typeface="Calibri"/>
              <a:cs typeface="Calibri"/>
            </a:rPr>
            <a:pPr algn="ctr"/>
            <a:t>964.44</a:t>
          </a:fld>
          <a:endParaRPr lang="en-IN" sz="2800" b="1"/>
        </a:p>
      </xdr:txBody>
    </xdr:sp>
    <xdr:clientData/>
  </xdr:twoCellAnchor>
  <xdr:twoCellAnchor>
    <xdr:from>
      <xdr:col>28</xdr:col>
      <xdr:colOff>6529</xdr:colOff>
      <xdr:row>10</xdr:row>
      <xdr:rowOff>107925</xdr:rowOff>
    </xdr:from>
    <xdr:to>
      <xdr:col>29</xdr:col>
      <xdr:colOff>503903</xdr:colOff>
      <xdr:row>14</xdr:row>
      <xdr:rowOff>42303</xdr:rowOff>
    </xdr:to>
    <xdr:sp macro="" textlink="">
      <xdr:nvSpPr>
        <xdr:cNvPr id="47" name="TextBox 46">
          <a:extLst>
            <a:ext uri="{FF2B5EF4-FFF2-40B4-BE49-F238E27FC236}">
              <a16:creationId xmlns:a16="http://schemas.microsoft.com/office/drawing/2014/main" id="{F96E7D15-9693-8A59-71F4-2D07D7BB52BB}"/>
            </a:ext>
          </a:extLst>
        </xdr:cNvPr>
        <xdr:cNvSpPr txBox="1"/>
      </xdr:nvSpPr>
      <xdr:spPr>
        <a:xfrm>
          <a:off x="37867252" y="1828570"/>
          <a:ext cx="2346683" cy="622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lowest   age</a:t>
          </a:r>
        </a:p>
      </xdr:txBody>
    </xdr:sp>
    <xdr:clientData/>
  </xdr:twoCellAnchor>
  <xdr:twoCellAnchor>
    <xdr:from>
      <xdr:col>28</xdr:col>
      <xdr:colOff>64227</xdr:colOff>
      <xdr:row>13</xdr:row>
      <xdr:rowOff>145177</xdr:rowOff>
    </xdr:from>
    <xdr:to>
      <xdr:col>29</xdr:col>
      <xdr:colOff>510452</xdr:colOff>
      <xdr:row>17</xdr:row>
      <xdr:rowOff>49160</xdr:rowOff>
    </xdr:to>
    <xdr:sp macro="" textlink="'dashboard HR'!AD19">
      <xdr:nvSpPr>
        <xdr:cNvPr id="48" name="TextBox 47">
          <a:extLst>
            <a:ext uri="{FF2B5EF4-FFF2-40B4-BE49-F238E27FC236}">
              <a16:creationId xmlns:a16="http://schemas.microsoft.com/office/drawing/2014/main" id="{996D68AB-A7F1-5DF3-8530-DF796828E8A7}"/>
            </a:ext>
          </a:extLst>
        </xdr:cNvPr>
        <xdr:cNvSpPr txBox="1"/>
      </xdr:nvSpPr>
      <xdr:spPr>
        <a:xfrm>
          <a:off x="37982649" y="2382016"/>
          <a:ext cx="2244384" cy="5922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67E023-73B5-4A84-A4B2-2B96E9721C87}" type="TxLink">
            <a:rPr lang="en-US" sz="2800" b="1" i="0" u="none" strike="noStrike">
              <a:solidFill>
                <a:srgbClr val="000000"/>
              </a:solidFill>
              <a:latin typeface="Calibri"/>
              <a:ea typeface="Calibri"/>
              <a:cs typeface="Calibri"/>
            </a:rPr>
            <a:pPr algn="ctr"/>
            <a:t>20</a:t>
          </a:fld>
          <a:endParaRPr lang="en-IN" sz="2800" b="1"/>
        </a:p>
      </xdr:txBody>
    </xdr:sp>
    <xdr:clientData/>
  </xdr:twoCellAnchor>
  <xdr:twoCellAnchor editAs="oneCell">
    <xdr:from>
      <xdr:col>1</xdr:col>
      <xdr:colOff>427344</xdr:colOff>
      <xdr:row>11</xdr:row>
      <xdr:rowOff>49161</xdr:rowOff>
    </xdr:from>
    <xdr:to>
      <xdr:col>2</xdr:col>
      <xdr:colOff>378132</xdr:colOff>
      <xdr:row>19</xdr:row>
      <xdr:rowOff>90436</xdr:rowOff>
    </xdr:to>
    <xdr:pic>
      <xdr:nvPicPr>
        <xdr:cNvPr id="5" name="Graphic 4" descr="Coins with solid fill">
          <a:extLst>
            <a:ext uri="{FF2B5EF4-FFF2-40B4-BE49-F238E27FC236}">
              <a16:creationId xmlns:a16="http://schemas.microsoft.com/office/drawing/2014/main" id="{97190BA7-A826-1529-8AC6-A784E63E22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6624" y="1941871"/>
          <a:ext cx="1253511" cy="1417791"/>
        </a:xfrm>
        <a:prstGeom prst="rect">
          <a:avLst/>
        </a:prstGeom>
      </xdr:spPr>
    </xdr:pic>
    <xdr:clientData/>
  </xdr:twoCellAnchor>
  <xdr:twoCellAnchor>
    <xdr:from>
      <xdr:col>0</xdr:col>
      <xdr:colOff>98322</xdr:colOff>
      <xdr:row>24</xdr:row>
      <xdr:rowOff>119114</xdr:rowOff>
    </xdr:from>
    <xdr:to>
      <xdr:col>7</xdr:col>
      <xdr:colOff>86032</xdr:colOff>
      <xdr:row>73</xdr:row>
      <xdr:rowOff>122903</xdr:rowOff>
    </xdr:to>
    <xdr:graphicFrame macro="">
      <xdr:nvGraphicFramePr>
        <xdr:cNvPr id="4" name="Chart 3">
          <a:extLst>
            <a:ext uri="{FF2B5EF4-FFF2-40B4-BE49-F238E27FC236}">
              <a16:creationId xmlns:a16="http://schemas.microsoft.com/office/drawing/2014/main" id="{F8030A72-0893-4CE8-8077-838CF2A04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135193</xdr:colOff>
      <xdr:row>24</xdr:row>
      <xdr:rowOff>98323</xdr:rowOff>
    </xdr:from>
    <xdr:to>
      <xdr:col>21</xdr:col>
      <xdr:colOff>258097</xdr:colOff>
      <xdr:row>73</xdr:row>
      <xdr:rowOff>49160</xdr:rowOff>
    </xdr:to>
    <xdr:graphicFrame macro="">
      <xdr:nvGraphicFramePr>
        <xdr:cNvPr id="7" name="Chart 6">
          <a:extLst>
            <a:ext uri="{FF2B5EF4-FFF2-40B4-BE49-F238E27FC236}">
              <a16:creationId xmlns:a16="http://schemas.microsoft.com/office/drawing/2014/main" id="{53FB244D-4CF8-484F-AEE5-6BA36BA6B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323261</xdr:colOff>
      <xdr:row>24</xdr:row>
      <xdr:rowOff>122904</xdr:rowOff>
    </xdr:from>
    <xdr:to>
      <xdr:col>30</xdr:col>
      <xdr:colOff>319548</xdr:colOff>
      <xdr:row>73</xdr:row>
      <xdr:rowOff>24579</xdr:rowOff>
    </xdr:to>
    <xdr:graphicFrame macro="">
      <xdr:nvGraphicFramePr>
        <xdr:cNvPr id="8" name="Chart 7">
          <a:extLst>
            <a:ext uri="{FF2B5EF4-FFF2-40B4-BE49-F238E27FC236}">
              <a16:creationId xmlns:a16="http://schemas.microsoft.com/office/drawing/2014/main" id="{B6ACD4DB-C24F-4D0E-94E8-9C9558AE6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196644</xdr:colOff>
      <xdr:row>75</xdr:row>
      <xdr:rowOff>49160</xdr:rowOff>
    </xdr:from>
    <xdr:to>
      <xdr:col>13</xdr:col>
      <xdr:colOff>221226</xdr:colOff>
      <xdr:row>114</xdr:row>
      <xdr:rowOff>147481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7277990C-4646-49E6-89A5-6FD04714E8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34408" y="13193660"/>
              <a:ext cx="16142604" cy="69334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61451</xdr:colOff>
      <xdr:row>75</xdr:row>
      <xdr:rowOff>110028</xdr:rowOff>
    </xdr:from>
    <xdr:to>
      <xdr:col>22</xdr:col>
      <xdr:colOff>332860</xdr:colOff>
      <xdr:row>116</xdr:row>
      <xdr:rowOff>159188</xdr:rowOff>
    </xdr:to>
    <mc:AlternateContent xmlns:mc="http://schemas.openxmlformats.org/markup-compatibility/2006" xmlns:a14="http://schemas.microsoft.com/office/drawing/2010/main">
      <mc:Choice Requires="a14">
        <xdr:graphicFrame macro="">
          <xdr:nvGraphicFramePr>
            <xdr:cNvPr id="16" name="Column4">
              <a:extLst>
                <a:ext uri="{FF2B5EF4-FFF2-40B4-BE49-F238E27FC236}">
                  <a16:creationId xmlns:a16="http://schemas.microsoft.com/office/drawing/2014/main" id="{5BEF9F93-06B6-8775-92E6-53FB8AC8CDBA}"/>
                </a:ext>
              </a:extLst>
            </xdr:cNvPr>
            <xdr:cNvGraphicFramePr/>
          </xdr:nvGraphicFramePr>
          <xdr:xfrm>
            <a:off x="0" y="0"/>
            <a:ext cx="0" cy="0"/>
          </xdr:xfrm>
          <a:graphic>
            <a:graphicData uri="http://schemas.microsoft.com/office/drawing/2010/slicer">
              <sle:slicer xmlns:sle="http://schemas.microsoft.com/office/drawing/2010/slicer" name="Column4"/>
            </a:graphicData>
          </a:graphic>
        </xdr:graphicFrame>
      </mc:Choice>
      <mc:Fallback xmlns="">
        <xdr:sp macro="" textlink="">
          <xdr:nvSpPr>
            <xdr:cNvPr id="0" name=""/>
            <xdr:cNvSpPr>
              <a:spLocks noTextEdit="1"/>
            </xdr:cNvSpPr>
          </xdr:nvSpPr>
          <xdr:spPr>
            <a:xfrm>
              <a:off x="19049999" y="13014867"/>
              <a:ext cx="11358302" cy="7103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503901</xdr:colOff>
      <xdr:row>75</xdr:row>
      <xdr:rowOff>24578</xdr:rowOff>
    </xdr:from>
    <xdr:to>
      <xdr:col>29</xdr:col>
      <xdr:colOff>491612</xdr:colOff>
      <xdr:row>113</xdr:row>
      <xdr:rowOff>147482</xdr:rowOff>
    </xdr:to>
    <mc:AlternateContent xmlns:mc="http://schemas.openxmlformats.org/markup-compatibility/2006" xmlns:a14="http://schemas.microsoft.com/office/drawing/2010/main">
      <mc:Choice Requires="a14">
        <xdr:graphicFrame macro="">
          <xdr:nvGraphicFramePr>
            <xdr:cNvPr id="18" name="businessUnit">
              <a:extLst>
                <a:ext uri="{FF2B5EF4-FFF2-40B4-BE49-F238E27FC236}">
                  <a16:creationId xmlns:a16="http://schemas.microsoft.com/office/drawing/2014/main" id="{EAA38789-5A08-C6F5-5A20-1137E539A6D0}"/>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30750383" y="12929417"/>
              <a:ext cx="9438970" cy="6661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73742</xdr:colOff>
      <xdr:row>101</xdr:row>
      <xdr:rowOff>98323</xdr:rowOff>
    </xdr:from>
    <xdr:to>
      <xdr:col>22</xdr:col>
      <xdr:colOff>290286</xdr:colOff>
      <xdr:row>112</xdr:row>
      <xdr:rowOff>73742</xdr:rowOff>
    </xdr:to>
    <mc:AlternateContent xmlns:mc="http://schemas.openxmlformats.org/markup-compatibility/2006" xmlns:a14="http://schemas.microsoft.com/office/drawing/2010/main">
      <mc:Choice Requires="a14">
        <xdr:graphicFrame macro="">
          <xdr:nvGraphicFramePr>
            <xdr:cNvPr id="20" name="employeeStatus">
              <a:extLst>
                <a:ext uri="{FF2B5EF4-FFF2-40B4-BE49-F238E27FC236}">
                  <a16:creationId xmlns:a16="http://schemas.microsoft.com/office/drawing/2014/main" id="{0F660B82-9137-9533-D5FA-E3D5B7AF9BB0}"/>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19074581" y="17476839"/>
              <a:ext cx="11248572" cy="1868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73742</xdr:colOff>
      <xdr:row>87</xdr:row>
      <xdr:rowOff>72569</xdr:rowOff>
    </xdr:from>
    <xdr:to>
      <xdr:col>22</xdr:col>
      <xdr:colOff>326571</xdr:colOff>
      <xdr:row>98</xdr:row>
      <xdr:rowOff>18142</xdr:rowOff>
    </xdr:to>
    <mc:AlternateContent xmlns:mc="http://schemas.openxmlformats.org/markup-compatibility/2006" xmlns:a14="http://schemas.microsoft.com/office/drawing/2010/main">
      <mc:Choice Requires="a14">
        <xdr:graphicFrame macro="">
          <xdr:nvGraphicFramePr>
            <xdr:cNvPr id="26" name="DepartmentType 1">
              <a:extLst>
                <a:ext uri="{FF2B5EF4-FFF2-40B4-BE49-F238E27FC236}">
                  <a16:creationId xmlns:a16="http://schemas.microsoft.com/office/drawing/2014/main" id="{91E94471-A7BA-9567-B2A1-941EEC7AFDE2}"/>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9074581" y="15042182"/>
              <a:ext cx="11321142" cy="1838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242899</xdr:colOff>
      <xdr:row>11</xdr:row>
      <xdr:rowOff>946</xdr:rowOff>
    </xdr:from>
    <xdr:to>
      <xdr:col>12</xdr:col>
      <xdr:colOff>268298</xdr:colOff>
      <xdr:row>19</xdr:row>
      <xdr:rowOff>946</xdr:rowOff>
    </xdr:to>
    <xdr:pic>
      <xdr:nvPicPr>
        <xdr:cNvPr id="33" name="Graphic 1" descr="Business Growth with solid fill">
          <a:extLst>
            <a:ext uri="{FF2B5EF4-FFF2-40B4-BE49-F238E27FC236}">
              <a16:creationId xmlns:a16="http://schemas.microsoft.com/office/drawing/2014/main" id="{D7CCE3D3-9C56-3F7C-63B1-DD1FF5CD76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357088" y="1893656"/>
          <a:ext cx="1402735" cy="1376516"/>
        </a:xfrm>
        <a:prstGeom prst="rect">
          <a:avLst/>
        </a:prstGeom>
      </xdr:spPr>
    </xdr:pic>
    <xdr:clientData/>
  </xdr:twoCellAnchor>
  <xdr:twoCellAnchor>
    <xdr:from>
      <xdr:col>7</xdr:col>
      <xdr:colOff>147484</xdr:colOff>
      <xdr:row>24</xdr:row>
      <xdr:rowOff>63742</xdr:rowOff>
    </xdr:from>
    <xdr:to>
      <xdr:col>14</xdr:col>
      <xdr:colOff>49547</xdr:colOff>
      <xdr:row>74</xdr:row>
      <xdr:rowOff>0</xdr:rowOff>
    </xdr:to>
    <xdr:graphicFrame macro="">
      <xdr:nvGraphicFramePr>
        <xdr:cNvPr id="49" name="Chart 48">
          <a:extLst>
            <a:ext uri="{FF2B5EF4-FFF2-40B4-BE49-F238E27FC236}">
              <a16:creationId xmlns:a16="http://schemas.microsoft.com/office/drawing/2014/main" id="{AB78BB38-62B9-4AD4-8E2C-DA4DC7E67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610419</xdr:colOff>
      <xdr:row>12</xdr:row>
      <xdr:rowOff>78658</xdr:rowOff>
    </xdr:from>
    <xdr:to>
      <xdr:col>7</xdr:col>
      <xdr:colOff>819</xdr:colOff>
      <xdr:row>17</xdr:row>
      <xdr:rowOff>98322</xdr:rowOff>
    </xdr:to>
    <xdr:pic>
      <xdr:nvPicPr>
        <xdr:cNvPr id="52" name="Graphic 51" descr="Connections with solid fill">
          <a:extLst>
            <a:ext uri="{FF2B5EF4-FFF2-40B4-BE49-F238E27FC236}">
              <a16:creationId xmlns:a16="http://schemas.microsoft.com/office/drawing/2014/main" id="{4E2050A0-01A2-21FE-F787-90C57163A4A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980516" y="2143432"/>
          <a:ext cx="1484671" cy="879987"/>
        </a:xfrm>
        <a:prstGeom prst="rect">
          <a:avLst/>
        </a:prstGeom>
      </xdr:spPr>
    </xdr:pic>
    <xdr:clientData/>
  </xdr:twoCellAnchor>
  <xdr:twoCellAnchor editAs="oneCell">
    <xdr:from>
      <xdr:col>25</xdr:col>
      <xdr:colOff>643193</xdr:colOff>
      <xdr:row>12</xdr:row>
      <xdr:rowOff>26221</xdr:rowOff>
    </xdr:from>
    <xdr:to>
      <xdr:col>27</xdr:col>
      <xdr:colOff>106925</xdr:colOff>
      <xdr:row>17</xdr:row>
      <xdr:rowOff>51620</xdr:rowOff>
    </xdr:to>
    <xdr:pic>
      <xdr:nvPicPr>
        <xdr:cNvPr id="54" name="Graphic 53" descr="Group brainstorm with solid fill">
          <a:extLst>
            <a:ext uri="{FF2B5EF4-FFF2-40B4-BE49-F238E27FC236}">
              <a16:creationId xmlns:a16="http://schemas.microsoft.com/office/drawing/2014/main" id="{C814E943-A93F-A971-9EAC-5DC083AA62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084773" y="2090995"/>
          <a:ext cx="1631335" cy="885722"/>
        </a:xfrm>
        <a:prstGeom prst="rect">
          <a:avLst/>
        </a:prstGeom>
      </xdr:spPr>
    </xdr:pic>
    <xdr:clientData/>
  </xdr:twoCellAnchor>
  <xdr:twoCellAnchor editAs="oneCell">
    <xdr:from>
      <xdr:col>21</xdr:col>
      <xdr:colOff>238051</xdr:colOff>
      <xdr:row>11</xdr:row>
      <xdr:rowOff>125419</xdr:rowOff>
    </xdr:from>
    <xdr:to>
      <xdr:col>22</xdr:col>
      <xdr:colOff>85651</xdr:colOff>
      <xdr:row>16</xdr:row>
      <xdr:rowOff>150819</xdr:rowOff>
    </xdr:to>
    <xdr:pic>
      <xdr:nvPicPr>
        <xdr:cNvPr id="56" name="Graphic 55" descr="Line arrow: Counter-clockwise curve with solid fill">
          <a:extLst>
            <a:ext uri="{FF2B5EF4-FFF2-40B4-BE49-F238E27FC236}">
              <a16:creationId xmlns:a16="http://schemas.microsoft.com/office/drawing/2014/main" id="{B0A45464-6687-BE90-87CD-89591F85FA2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866748" y="2018129"/>
          <a:ext cx="1047135" cy="885722"/>
        </a:xfrm>
        <a:prstGeom prst="rect">
          <a:avLst/>
        </a:prstGeom>
      </xdr:spPr>
    </xdr:pic>
    <xdr:clientData/>
  </xdr:twoCellAnchor>
  <xdr:twoCellAnchor editAs="oneCell">
    <xdr:from>
      <xdr:col>16</xdr:col>
      <xdr:colOff>355657</xdr:colOff>
      <xdr:row>11</xdr:row>
      <xdr:rowOff>121380</xdr:rowOff>
    </xdr:from>
    <xdr:to>
      <xdr:col>17</xdr:col>
      <xdr:colOff>200389</xdr:colOff>
      <xdr:row>16</xdr:row>
      <xdr:rowOff>146780</xdr:rowOff>
    </xdr:to>
    <xdr:pic>
      <xdr:nvPicPr>
        <xdr:cNvPr id="58" name="Graphic 57" descr="Line arrow: Rotate left with solid fill">
          <a:extLst>
            <a:ext uri="{FF2B5EF4-FFF2-40B4-BE49-F238E27FC236}">
              <a16:creationId xmlns:a16="http://schemas.microsoft.com/office/drawing/2014/main" id="{BF537533-FFA9-F5E3-7CA9-2517DC6535E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342283" y="2014090"/>
          <a:ext cx="1041399" cy="8857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458337152777" createdVersion="8" refreshedVersion="8" minRefreshableVersion="3" recordCount="50" xr:uid="{194AFDB5-9BE6-42C3-A1CD-8A006E3B0D8B}">
  <cacheSource type="worksheet">
    <worksheetSource name="Table1"/>
  </cacheSource>
  <cacheFields count="8">
    <cacheField name="tittle" numFmtId="0">
      <sharedItems count="3">
        <s v="Title"/>
        <s v="Production Technician I"/>
        <s v="Area Sales Manager"/>
      </sharedItems>
    </cacheField>
    <cacheField name="businessUnit" numFmtId="0">
      <sharedItems count="11">
        <s v="BusinessUnit"/>
        <s v="CCDR"/>
        <s v="EW"/>
        <s v="PL"/>
        <s v="TNS"/>
        <s v="BPC"/>
        <s v="WBL"/>
        <s v="NEL"/>
        <s v="SVG"/>
        <s v="MSC"/>
        <s v="PYZ"/>
      </sharedItems>
    </cacheField>
    <cacheField name="employeeStatus" numFmtId="0">
      <sharedItems count="2">
        <s v="EmployeeStatus"/>
        <s v="Active"/>
      </sharedItems>
    </cacheField>
    <cacheField name="EmployeeType" numFmtId="0">
      <sharedItems count="4">
        <s v="EmployeeType"/>
        <s v="Contract"/>
        <s v="Full-Time"/>
        <s v="Part-Time"/>
      </sharedItems>
    </cacheField>
    <cacheField name="PayZone" numFmtId="0">
      <sharedItems count="4">
        <s v="PayZone"/>
        <s v="Zone C"/>
        <s v="Zone A"/>
        <s v="Zone B"/>
      </sharedItems>
    </cacheField>
    <cacheField name="EmployeeClassificationType" numFmtId="0">
      <sharedItems count="4">
        <s v="EmployeeClassificationType"/>
        <s v="Temporary"/>
        <s v="Part-Time"/>
        <s v="Full-Time"/>
      </sharedItems>
    </cacheField>
    <cacheField name="DepartmentType" numFmtId="0">
      <sharedItems count="4">
        <s v="DepartmentType"/>
        <s v="Production       "/>
        <s v="Sales"/>
        <s v="IT/IS"/>
      </sharedItems>
    </cacheField>
    <cacheField name="Column8" numFmtId="0">
      <sharedItems count="16">
        <s v="Division"/>
        <s v="Finance &amp; Accounting"/>
        <s v="Aerial"/>
        <s v="General - Sga"/>
        <s v="General - Con"/>
        <s v="Field Operations"/>
        <s v="General - Eng"/>
        <s v="Engineers"/>
        <s v="Executive"/>
        <s v="Splicing"/>
        <s v="Project Management - Con"/>
        <s v="Fielders"/>
        <s v="Project Management - Eng"/>
        <s v="Shop (Fleet)"/>
        <s v="Wireline Construction"/>
        <s v="Catv"/>
      </sharedItems>
    </cacheField>
  </cacheFields>
  <extLst>
    <ext xmlns:x14="http://schemas.microsoft.com/office/spreadsheetml/2009/9/main" uri="{725AE2AE-9491-48be-B2B4-4EB974FC3084}">
      <x14:pivotCacheDefinition pivotCacheId="721565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481038425925" createdVersion="8" refreshedVersion="8" minRefreshableVersion="3" recordCount="49" xr:uid="{3130A350-2744-4955-8C21-72D08A095043}">
  <cacheSource type="worksheet">
    <worksheetSource name="table2"/>
  </cacheSource>
  <cacheFields count="1">
    <cacheField name="Employee ID" numFmtId="0">
      <sharedItems containsSemiMixedTypes="0" containsString="0" containsNumber="1" containsInteger="1" minValue="3427" maxValue="348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446317592592" backgroundQuery="1" createdVersion="8" refreshedVersion="8" minRefreshableVersion="3" recordCount="0" supportSubquery="1" supportAdvancedDrill="1" xr:uid="{9D8D5088-D4E8-43A7-8122-CAD27036B471}">
  <cacheSource type="external" connectionId="1"/>
  <cacheFields count="4">
    <cacheField name="[Table1].[Column1].[Column1]" caption="Column1" numFmtId="0" level="1">
      <sharedItems count="1">
        <s v="Area Sales Manager"/>
      </sharedItems>
    </cacheField>
    <cacheField name="[Measures].[Sum of Employee ID]" caption="Sum of Employee ID" numFmtId="0" hierarchy="17" level="32767"/>
    <cacheField name="[Table2].[Employee ID].[Employee ID]" caption="Employee ID" numFmtId="0" hierarchy="8" level="1">
      <sharedItems containsSemiMixedTypes="0" containsNonDate="0" containsString="0"/>
    </cacheField>
    <cacheField name="[Table1].[Column4].[Column4]" caption="Column4" numFmtId="0" hierarchy="3" level="1">
      <sharedItems containsSemiMixedTypes="0" containsNonDate="0" containsString="0"/>
    </cacheField>
  </cacheFields>
  <cacheHierarchies count="18">
    <cacheHierarchy uniqueName="[Table1].[Column1]" caption="Column1" attribute="1" defaultMemberUniqueName="[Table1].[Column1].[All]" allUniqueName="[Table1].[Column1].[All]" dimensionUniqueName="[Table1]" displayFolder="" count="2" memberValueDatatype="130" unbalanced="0">
      <fieldsUsage count="2">
        <fieldUsage x="-1"/>
        <fieldUsage x="0"/>
      </fieldsUsage>
    </cacheHierarchy>
    <cacheHierarchy uniqueName="[Table1].[Column2]" caption="Column2" attribute="1" defaultMemberUniqueName="[Table1].[Column2].[All]" allUniqueName="[Table1].[Column2].[All]" dimensionUniqueName="[Table1]" displayFolder="" count="2" memberValueDatatype="130" unbalanced="0"/>
    <cacheHierarchy uniqueName="[Table1].[Column3]" caption="Column3" attribute="1" defaultMemberUniqueName="[Table1].[Column3].[All]" allUniqueName="[Table1].[Column3].[All]" dimensionUniqueName="[Table1]" displayFolder="" count="2" memberValueDatatype="130" unbalanced="0"/>
    <cacheHierarchy uniqueName="[Table1].[Column4]" caption="Column4" attribute="1" defaultMemberUniqueName="[Table1].[Column4].[All]" allUniqueName="[Table1].[Column4].[All]" dimensionUniqueName="[Table1]" displayFolder="" count="2" memberValueDatatype="130" unbalanced="0">
      <fieldsUsage count="2">
        <fieldUsage x="-1"/>
        <fieldUsage x="3"/>
      </fieldsUsage>
    </cacheHierarchy>
    <cacheHierarchy uniqueName="[Table1].[Column5]" caption="Column5" attribute="1" defaultMemberUniqueName="[Table1].[Column5].[All]" allUniqueName="[Table1].[Column5].[All]" dimensionUniqueName="[Table1]" displayFolder="" count="2" memberValueDatatype="130" unbalanced="0"/>
    <cacheHierarchy uniqueName="[Table1].[Column6]" caption="Column6" attribute="1" defaultMemberUniqueName="[Table1].[Column6].[All]" allUniqueName="[Table1].[Column6].[All]" dimensionUniqueName="[Table1]" displayFolder="" count="2" memberValueDatatype="130" unbalanced="0"/>
    <cacheHierarchy uniqueName="[Table1].[Column7]" caption="Column7" attribute="1" defaultMemberUniqueName="[Table1].[Column7].[All]" allUniqueName="[Table1].[Column7].[All]" dimensionUniqueName="[Table1]" displayFolder="" count="2" memberValueDatatype="130" unbalanced="0"/>
    <cacheHierarchy uniqueName="[Table1].[Column8]" caption="Column8" attribute="1" defaultMemberUniqueName="[Table1].[Column8].[All]" allUniqueName="[Table1].[Column8].[All]" dimensionUniqueName="[Table1]" displayFolder="" count="2" memberValueDatatype="130" unbalanced="0"/>
    <cacheHierarchy uniqueName="[Table2].[Employee ID]" caption="Employee ID" attribute="1" defaultMemberUniqueName="[Table2].[Employee ID].[All]" allUniqueName="[Table2].[Employee ID].[All]" dimensionUniqueName="[Table2]" displayFolder="" count="2" memberValueDatatype="20" unbalanced="0">
      <fieldsUsage count="2">
        <fieldUsage x="-1"/>
        <fieldUsage x="2"/>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lumn2]" caption="Count of Column2" measure="1" displayFolder="" measureGroup="Table1" count="0" hidden="1">
      <extLst>
        <ext xmlns:x15="http://schemas.microsoft.com/office/spreadsheetml/2010/11/main" uri="{B97F6D7D-B522-45F9-BDA1-12C45D357490}">
          <x15:cacheHierarchy aggregatedColumn="1"/>
        </ext>
      </extLst>
    </cacheHierarchy>
    <cacheHierarchy uniqueName="[Measures].[Count of Column3]" caption="Count of Column3" measure="1" displayFolder="" measureGroup="Table1" count="0" hidden="1">
      <extLst>
        <ext xmlns:x15="http://schemas.microsoft.com/office/spreadsheetml/2010/11/main" uri="{B97F6D7D-B522-45F9-BDA1-12C45D357490}">
          <x15:cacheHierarchy aggregatedColumn="2"/>
        </ext>
      </extLst>
    </cacheHierarchy>
    <cacheHierarchy uniqueName="[Measures].[Count of Column4]" caption="Count of Column4" measure="1" displayFolder="" measureGroup="Table1" count="0" hidden="1">
      <extLst>
        <ext xmlns:x15="http://schemas.microsoft.com/office/spreadsheetml/2010/11/main" uri="{B97F6D7D-B522-45F9-BDA1-12C45D357490}">
          <x15:cacheHierarchy aggregatedColumn="3"/>
        </ext>
      </extLst>
    </cacheHierarchy>
    <cacheHierarchy uniqueName="[Measures].[Count of Column5]" caption="Count of Column5" measure="1" displayFolder="" measureGroup="Table1" count="0" hidden="1">
      <extLst>
        <ext xmlns:x15="http://schemas.microsoft.com/office/spreadsheetml/2010/11/main" uri="{B97F6D7D-B522-45F9-BDA1-12C45D357490}">
          <x15:cacheHierarchy aggregatedColumn="4"/>
        </ext>
      </extLst>
    </cacheHierarchy>
    <cacheHierarchy uniqueName="[Measures].[Count of Column6]" caption="Count of Column6" measure="1" displayFolder="" measureGroup="Table1"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503035995367" backgroundQuery="1" createdVersion="3" refreshedVersion="8" minRefreshableVersion="3" recordCount="0" supportSubquery="1" supportAdvancedDrill="1" xr:uid="{4AD1747A-1FB0-4815-8CE4-B416A14AA054}">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Column1]" caption="Column1" attribute="1" defaultMemberUniqueName="[Table1].[Column1].[All]" allUniqueName="[Table1].[Column1].[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4]" caption="Column4" attribute="1" defaultMemberUniqueName="[Table1].[Column4].[All]" allUniqueName="[Table1].[Column4].[All]" dimensionUniqueName="[Table1]" displayFolder="" count="2" memberValueDatatype="130" unbalanced="0"/>
    <cacheHierarchy uniqueName="[Table1].[Column5]" caption="Column5" attribute="1" defaultMemberUniqueName="[Table1].[Column5].[All]" allUniqueName="[Table1].[Column5].[All]" dimensionUniqueName="[Table1]" displayFolder="" count="0" memberValueDatatype="130" unbalanced="0"/>
    <cacheHierarchy uniqueName="[Table1].[Column6]" caption="Column6" attribute="1" defaultMemberUniqueName="[Table1].[Column6].[All]" allUniqueName="[Table1].[Column6].[All]" dimensionUniqueName="[Table1]" displayFolder="" count="0" memberValueDatatype="130" unbalanced="0"/>
    <cacheHierarchy uniqueName="[Table1].[Column7]" caption="Column7" attribute="1" defaultMemberUniqueName="[Table1].[Column7].[All]" allUniqueName="[Table1].[Column7].[All]" dimensionUniqueName="[Table1]" displayFolder="" count="0" memberValueDatatype="130" unbalanced="0"/>
    <cacheHierarchy uniqueName="[Table1].[Column8]" caption="Column8" attribute="1" defaultMemberUniqueName="[Table1].[Column8].[All]" allUniqueName="[Table1].[Column8].[All]" dimensionUniqueName="[Table1]" displayFolder="" count="0" memberValueDatatype="130" unbalanced="0"/>
    <cacheHierarchy uniqueName="[Table2].[Employee ID]" caption="Employee ID" attribute="1" defaultMemberUniqueName="[Table2].[Employee ID].[All]" allUniqueName="[Table2].[Employee ID].[All]" dimensionUniqueName="[Table2]" displayFolder="" count="2"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lumn2]" caption="Count of Column2" measure="1" displayFolder="" measureGroup="Table1" count="0" hidden="1">
      <extLst>
        <ext xmlns:x15="http://schemas.microsoft.com/office/spreadsheetml/2010/11/main" uri="{B97F6D7D-B522-45F9-BDA1-12C45D357490}">
          <x15:cacheHierarchy aggregatedColumn="1"/>
        </ext>
      </extLst>
    </cacheHierarchy>
    <cacheHierarchy uniqueName="[Measures].[Count of Column3]" caption="Count of Column3" measure="1" displayFolder="" measureGroup="Table1" count="0" hidden="1">
      <extLst>
        <ext xmlns:x15="http://schemas.microsoft.com/office/spreadsheetml/2010/11/main" uri="{B97F6D7D-B522-45F9-BDA1-12C45D357490}">
          <x15:cacheHierarchy aggregatedColumn="2"/>
        </ext>
      </extLst>
    </cacheHierarchy>
    <cacheHierarchy uniqueName="[Measures].[Count of Column4]" caption="Count of Column4" measure="1" displayFolder="" measureGroup="Table1" count="0" hidden="1">
      <extLst>
        <ext xmlns:x15="http://schemas.microsoft.com/office/spreadsheetml/2010/11/main" uri="{B97F6D7D-B522-45F9-BDA1-12C45D357490}">
          <x15:cacheHierarchy aggregatedColumn="3"/>
        </ext>
      </extLst>
    </cacheHierarchy>
    <cacheHierarchy uniqueName="[Measures].[Count of Column5]" caption="Count of Column5" measure="1" displayFolder="" measureGroup="Table1" count="0" hidden="1">
      <extLst>
        <ext xmlns:x15="http://schemas.microsoft.com/office/spreadsheetml/2010/11/main" uri="{B97F6D7D-B522-45F9-BDA1-12C45D357490}">
          <x15:cacheHierarchy aggregatedColumn="4"/>
        </ext>
      </extLst>
    </cacheHierarchy>
    <cacheHierarchy uniqueName="[Measures].[Count of Column6]" caption="Count of Column6" measure="1" displayFolder="" measureGroup="Table1" count="0" hidden="1">
      <extLst>
        <ext xmlns:x15="http://schemas.microsoft.com/office/spreadsheetml/2010/11/main" uri="{B97F6D7D-B522-45F9-BDA1-12C45D357490}">
          <x15:cacheHierarchy aggregatedColumn="5"/>
        </ext>
      </extLst>
    </cacheHierarchy>
    <cacheHierarchy uniqueName="[Measures].[Sum of Employee ID]" caption="Sum of Employee ID" measure="1" displayFolder="" measureGroup="Table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954687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x v="0"/>
  </r>
  <r>
    <x v="1"/>
    <x v="1"/>
    <x v="1"/>
    <x v="1"/>
    <x v="1"/>
    <x v="1"/>
    <x v="1"/>
    <x v="1"/>
  </r>
  <r>
    <x v="1"/>
    <x v="2"/>
    <x v="1"/>
    <x v="1"/>
    <x v="2"/>
    <x v="2"/>
    <x v="1"/>
    <x v="2"/>
  </r>
  <r>
    <x v="2"/>
    <x v="3"/>
    <x v="1"/>
    <x v="2"/>
    <x v="3"/>
    <x v="2"/>
    <x v="2"/>
    <x v="3"/>
  </r>
  <r>
    <x v="2"/>
    <x v="1"/>
    <x v="1"/>
    <x v="1"/>
    <x v="2"/>
    <x v="3"/>
    <x v="2"/>
    <x v="1"/>
  </r>
  <r>
    <x v="2"/>
    <x v="4"/>
    <x v="1"/>
    <x v="1"/>
    <x v="2"/>
    <x v="1"/>
    <x v="2"/>
    <x v="4"/>
  </r>
  <r>
    <x v="2"/>
    <x v="5"/>
    <x v="1"/>
    <x v="1"/>
    <x v="3"/>
    <x v="3"/>
    <x v="2"/>
    <x v="5"/>
  </r>
  <r>
    <x v="2"/>
    <x v="6"/>
    <x v="1"/>
    <x v="2"/>
    <x v="3"/>
    <x v="1"/>
    <x v="2"/>
    <x v="6"/>
  </r>
  <r>
    <x v="2"/>
    <x v="1"/>
    <x v="1"/>
    <x v="1"/>
    <x v="1"/>
    <x v="3"/>
    <x v="2"/>
    <x v="7"/>
  </r>
  <r>
    <x v="2"/>
    <x v="7"/>
    <x v="1"/>
    <x v="1"/>
    <x v="3"/>
    <x v="2"/>
    <x v="2"/>
    <x v="8"/>
  </r>
  <r>
    <x v="2"/>
    <x v="5"/>
    <x v="1"/>
    <x v="3"/>
    <x v="3"/>
    <x v="1"/>
    <x v="2"/>
    <x v="7"/>
  </r>
  <r>
    <x v="2"/>
    <x v="8"/>
    <x v="1"/>
    <x v="1"/>
    <x v="3"/>
    <x v="1"/>
    <x v="2"/>
    <x v="5"/>
  </r>
  <r>
    <x v="2"/>
    <x v="9"/>
    <x v="1"/>
    <x v="2"/>
    <x v="1"/>
    <x v="1"/>
    <x v="2"/>
    <x v="4"/>
  </r>
  <r>
    <x v="2"/>
    <x v="2"/>
    <x v="1"/>
    <x v="2"/>
    <x v="2"/>
    <x v="1"/>
    <x v="2"/>
    <x v="9"/>
  </r>
  <r>
    <x v="2"/>
    <x v="1"/>
    <x v="1"/>
    <x v="1"/>
    <x v="2"/>
    <x v="3"/>
    <x v="2"/>
    <x v="1"/>
  </r>
  <r>
    <x v="2"/>
    <x v="5"/>
    <x v="1"/>
    <x v="3"/>
    <x v="2"/>
    <x v="2"/>
    <x v="2"/>
    <x v="4"/>
  </r>
  <r>
    <x v="2"/>
    <x v="10"/>
    <x v="1"/>
    <x v="2"/>
    <x v="2"/>
    <x v="3"/>
    <x v="3"/>
    <x v="5"/>
  </r>
  <r>
    <x v="2"/>
    <x v="6"/>
    <x v="1"/>
    <x v="2"/>
    <x v="1"/>
    <x v="2"/>
    <x v="3"/>
    <x v="10"/>
  </r>
  <r>
    <x v="2"/>
    <x v="7"/>
    <x v="1"/>
    <x v="1"/>
    <x v="2"/>
    <x v="2"/>
    <x v="2"/>
    <x v="7"/>
  </r>
  <r>
    <x v="2"/>
    <x v="3"/>
    <x v="1"/>
    <x v="1"/>
    <x v="1"/>
    <x v="3"/>
    <x v="2"/>
    <x v="10"/>
  </r>
  <r>
    <x v="2"/>
    <x v="5"/>
    <x v="1"/>
    <x v="3"/>
    <x v="2"/>
    <x v="2"/>
    <x v="2"/>
    <x v="5"/>
  </r>
  <r>
    <x v="2"/>
    <x v="9"/>
    <x v="1"/>
    <x v="1"/>
    <x v="1"/>
    <x v="1"/>
    <x v="2"/>
    <x v="5"/>
  </r>
  <r>
    <x v="2"/>
    <x v="4"/>
    <x v="1"/>
    <x v="1"/>
    <x v="1"/>
    <x v="3"/>
    <x v="2"/>
    <x v="4"/>
  </r>
  <r>
    <x v="2"/>
    <x v="10"/>
    <x v="1"/>
    <x v="3"/>
    <x v="2"/>
    <x v="2"/>
    <x v="2"/>
    <x v="4"/>
  </r>
  <r>
    <x v="2"/>
    <x v="6"/>
    <x v="1"/>
    <x v="1"/>
    <x v="1"/>
    <x v="2"/>
    <x v="2"/>
    <x v="11"/>
  </r>
  <r>
    <x v="2"/>
    <x v="10"/>
    <x v="1"/>
    <x v="2"/>
    <x v="1"/>
    <x v="3"/>
    <x v="3"/>
    <x v="4"/>
  </r>
  <r>
    <x v="2"/>
    <x v="6"/>
    <x v="1"/>
    <x v="2"/>
    <x v="1"/>
    <x v="1"/>
    <x v="2"/>
    <x v="12"/>
  </r>
  <r>
    <x v="2"/>
    <x v="7"/>
    <x v="1"/>
    <x v="2"/>
    <x v="2"/>
    <x v="1"/>
    <x v="2"/>
    <x v="5"/>
  </r>
  <r>
    <x v="2"/>
    <x v="3"/>
    <x v="1"/>
    <x v="2"/>
    <x v="3"/>
    <x v="1"/>
    <x v="2"/>
    <x v="7"/>
  </r>
  <r>
    <x v="2"/>
    <x v="8"/>
    <x v="1"/>
    <x v="2"/>
    <x v="2"/>
    <x v="3"/>
    <x v="2"/>
    <x v="2"/>
  </r>
  <r>
    <x v="2"/>
    <x v="9"/>
    <x v="1"/>
    <x v="1"/>
    <x v="2"/>
    <x v="3"/>
    <x v="2"/>
    <x v="5"/>
  </r>
  <r>
    <x v="2"/>
    <x v="4"/>
    <x v="1"/>
    <x v="3"/>
    <x v="2"/>
    <x v="1"/>
    <x v="2"/>
    <x v="5"/>
  </r>
  <r>
    <x v="2"/>
    <x v="10"/>
    <x v="1"/>
    <x v="1"/>
    <x v="3"/>
    <x v="3"/>
    <x v="2"/>
    <x v="13"/>
  </r>
  <r>
    <x v="2"/>
    <x v="6"/>
    <x v="1"/>
    <x v="2"/>
    <x v="3"/>
    <x v="3"/>
    <x v="2"/>
    <x v="4"/>
  </r>
  <r>
    <x v="2"/>
    <x v="10"/>
    <x v="1"/>
    <x v="3"/>
    <x v="1"/>
    <x v="3"/>
    <x v="3"/>
    <x v="2"/>
  </r>
  <r>
    <x v="2"/>
    <x v="6"/>
    <x v="1"/>
    <x v="1"/>
    <x v="2"/>
    <x v="2"/>
    <x v="2"/>
    <x v="11"/>
  </r>
  <r>
    <x v="2"/>
    <x v="7"/>
    <x v="1"/>
    <x v="1"/>
    <x v="3"/>
    <x v="1"/>
    <x v="2"/>
    <x v="14"/>
  </r>
  <r>
    <x v="2"/>
    <x v="1"/>
    <x v="1"/>
    <x v="3"/>
    <x v="1"/>
    <x v="1"/>
    <x v="2"/>
    <x v="5"/>
  </r>
  <r>
    <x v="2"/>
    <x v="8"/>
    <x v="1"/>
    <x v="1"/>
    <x v="1"/>
    <x v="3"/>
    <x v="2"/>
    <x v="10"/>
  </r>
  <r>
    <x v="2"/>
    <x v="2"/>
    <x v="1"/>
    <x v="3"/>
    <x v="2"/>
    <x v="1"/>
    <x v="2"/>
    <x v="13"/>
  </r>
  <r>
    <x v="2"/>
    <x v="9"/>
    <x v="1"/>
    <x v="2"/>
    <x v="2"/>
    <x v="1"/>
    <x v="2"/>
    <x v="15"/>
  </r>
  <r>
    <x v="2"/>
    <x v="4"/>
    <x v="1"/>
    <x v="2"/>
    <x v="1"/>
    <x v="1"/>
    <x v="2"/>
    <x v="4"/>
  </r>
  <r>
    <x v="2"/>
    <x v="10"/>
    <x v="1"/>
    <x v="3"/>
    <x v="2"/>
    <x v="1"/>
    <x v="2"/>
    <x v="11"/>
  </r>
  <r>
    <x v="2"/>
    <x v="10"/>
    <x v="1"/>
    <x v="3"/>
    <x v="2"/>
    <x v="3"/>
    <x v="3"/>
    <x v="2"/>
  </r>
  <r>
    <x v="2"/>
    <x v="6"/>
    <x v="1"/>
    <x v="2"/>
    <x v="1"/>
    <x v="1"/>
    <x v="2"/>
    <x v="14"/>
  </r>
  <r>
    <x v="2"/>
    <x v="7"/>
    <x v="1"/>
    <x v="1"/>
    <x v="2"/>
    <x v="2"/>
    <x v="2"/>
    <x v="10"/>
  </r>
  <r>
    <x v="2"/>
    <x v="8"/>
    <x v="1"/>
    <x v="3"/>
    <x v="3"/>
    <x v="1"/>
    <x v="2"/>
    <x v="10"/>
  </r>
  <r>
    <x v="2"/>
    <x v="2"/>
    <x v="1"/>
    <x v="3"/>
    <x v="3"/>
    <x v="3"/>
    <x v="2"/>
    <x v="4"/>
  </r>
  <r>
    <x v="2"/>
    <x v="9"/>
    <x v="1"/>
    <x v="1"/>
    <x v="1"/>
    <x v="3"/>
    <x v="2"/>
    <x v="5"/>
  </r>
  <r>
    <x v="2"/>
    <x v="4"/>
    <x v="1"/>
    <x v="3"/>
    <x v="1"/>
    <x v="1"/>
    <x v="2"/>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3427"/>
  </r>
  <r>
    <n v="3428"/>
  </r>
  <r>
    <n v="3429"/>
  </r>
  <r>
    <n v="3430"/>
  </r>
  <r>
    <n v="3431"/>
  </r>
  <r>
    <n v="3432"/>
  </r>
  <r>
    <n v="3433"/>
  </r>
  <r>
    <n v="3434"/>
  </r>
  <r>
    <n v="3435"/>
  </r>
  <r>
    <n v="3436"/>
  </r>
  <r>
    <n v="3437"/>
  </r>
  <r>
    <n v="3438"/>
  </r>
  <r>
    <n v="3439"/>
  </r>
  <r>
    <n v="3440"/>
  </r>
  <r>
    <n v="3441"/>
  </r>
  <r>
    <n v="3442"/>
  </r>
  <r>
    <n v="3443"/>
  </r>
  <r>
    <n v="3444"/>
  </r>
  <r>
    <n v="3445"/>
  </r>
  <r>
    <n v="3446"/>
  </r>
  <r>
    <n v="3450"/>
  </r>
  <r>
    <n v="3451"/>
  </r>
  <r>
    <n v="3452"/>
  </r>
  <r>
    <n v="3453"/>
  </r>
  <r>
    <n v="3454"/>
  </r>
  <r>
    <n v="3455"/>
  </r>
  <r>
    <n v="3456"/>
  </r>
  <r>
    <n v="3457"/>
  </r>
  <r>
    <n v="3460"/>
  </r>
  <r>
    <n v="3462"/>
  </r>
  <r>
    <n v="3463"/>
  </r>
  <r>
    <n v="3464"/>
  </r>
  <r>
    <n v="3465"/>
  </r>
  <r>
    <n v="3466"/>
  </r>
  <r>
    <n v="3467"/>
  </r>
  <r>
    <n v="3468"/>
  </r>
  <r>
    <n v="3471"/>
  </r>
  <r>
    <n v="3472"/>
  </r>
  <r>
    <n v="3473"/>
  </r>
  <r>
    <n v="3474"/>
  </r>
  <r>
    <n v="3475"/>
  </r>
  <r>
    <n v="3476"/>
  </r>
  <r>
    <n v="3477"/>
  </r>
  <r>
    <n v="3478"/>
  </r>
  <r>
    <n v="3479"/>
  </r>
  <r>
    <n v="3483"/>
  </r>
  <r>
    <n v="3484"/>
  </r>
  <r>
    <n v="3485"/>
  </r>
  <r>
    <n v="34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2EB03-1453-4DBA-8020-9EB3C76A259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1">
    <pivotField dataField="1" showAll="0"/>
  </pivotFields>
  <rowItems count="1">
    <i/>
  </rowItems>
  <colItems count="1">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CED76-3D9D-497A-A09C-4134467EDCA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1:H14" firstHeaderRow="1" firstDataRow="1" firstDataCol="1"/>
  <pivotFields count="8">
    <pivotField showAll="0">
      <items count="4">
        <item x="2"/>
        <item h="1" x="1"/>
        <item h="1" x="0"/>
        <item t="default"/>
      </items>
    </pivotField>
    <pivotField showAll="0">
      <items count="12">
        <item h="1" x="5"/>
        <item h="1" x="0"/>
        <item h="1" x="1"/>
        <item x="2"/>
        <item h="1" x="9"/>
        <item h="1" x="7"/>
        <item h="1" x="3"/>
        <item h="1" x="10"/>
        <item h="1" x="8"/>
        <item h="1" x="4"/>
        <item h="1" x="6"/>
        <item t="default"/>
      </items>
    </pivotField>
    <pivotField showAll="0">
      <items count="3">
        <item x="1"/>
        <item h="1" x="0"/>
        <item t="default"/>
      </items>
    </pivotField>
    <pivotField showAll="0"/>
    <pivotField dataField="1" showAll="0"/>
    <pivotField axis="axisRow" showAll="0">
      <items count="5">
        <item x="0"/>
        <item x="3"/>
        <item x="2"/>
        <item x="1"/>
        <item t="default"/>
      </items>
    </pivotField>
    <pivotField showAll="0">
      <items count="5">
        <item x="0"/>
        <item x="3"/>
        <item x="1"/>
        <item x="2"/>
        <item t="default"/>
      </items>
    </pivotField>
    <pivotField showAll="0"/>
  </pivotFields>
  <rowFields count="1">
    <field x="5"/>
  </rowFields>
  <rowItems count="3">
    <i>
      <x v="1"/>
    </i>
    <i>
      <x v="3"/>
    </i>
    <i t="grand">
      <x/>
    </i>
  </rowItems>
  <colItems count="1">
    <i/>
  </colItems>
  <dataFields count="1">
    <dataField name="Count of PayZone" fld="4" subtotal="count"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0"/>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 chart="7" format="13">
      <pivotArea type="data" outline="0" fieldPosition="0">
        <references count="2">
          <reference field="4294967294" count="1" selected="0">
            <x v="0"/>
          </reference>
          <reference field="5" count="1" selected="0">
            <x v="2"/>
          </reference>
        </references>
      </pivotArea>
    </chartFormat>
    <chartFormat chart="7"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933E2F-6BF1-46BF-89E3-D8EAD436CE9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G4" firstHeaderRow="1" firstDataRow="1" firstDataCol="1"/>
  <pivotFields count="8">
    <pivotField showAll="0"/>
    <pivotField showAll="0">
      <items count="12">
        <item h="1" x="5"/>
        <item h="1" x="0"/>
        <item h="1" x="1"/>
        <item x="2"/>
        <item h="1" x="9"/>
        <item h="1" x="7"/>
        <item h="1" x="3"/>
        <item h="1" x="10"/>
        <item h="1" x="8"/>
        <item h="1" x="4"/>
        <item h="1" x="6"/>
        <item t="default"/>
      </items>
    </pivotField>
    <pivotField showAll="0">
      <items count="3">
        <item x="1"/>
        <item h="1" x="0"/>
        <item t="default"/>
      </items>
    </pivotField>
    <pivotField showAll="0"/>
    <pivotField showAll="0"/>
    <pivotField showAll="0"/>
    <pivotField axis="axisRow" showAll="0">
      <items count="5">
        <item h="1" x="0"/>
        <item h="1" x="3"/>
        <item h="1" x="1"/>
        <item x="2"/>
        <item t="default"/>
      </items>
    </pivotField>
    <pivotField dataField="1" showAll="0">
      <items count="17">
        <item x="2"/>
        <item x="15"/>
        <item x="0"/>
        <item x="7"/>
        <item x="8"/>
        <item x="5"/>
        <item x="11"/>
        <item x="1"/>
        <item x="4"/>
        <item x="6"/>
        <item x="3"/>
        <item x="10"/>
        <item x="12"/>
        <item x="13"/>
        <item x="9"/>
        <item x="14"/>
        <item t="default"/>
      </items>
    </pivotField>
  </pivotFields>
  <rowFields count="1">
    <field x="6"/>
  </rowFields>
  <rowItems count="2">
    <i>
      <x v="3"/>
    </i>
    <i t="grand">
      <x/>
    </i>
  </rowItems>
  <colItems count="1">
    <i/>
  </colItems>
  <dataFields count="1">
    <dataField name="Count of Column8" fld="7" subtotal="count" baseField="0" baseItem="0"/>
  </dataFields>
  <chartFormats count="9">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 chart="7" format="4">
      <pivotArea type="data" outline="0" fieldPosition="0">
        <references count="2">
          <reference field="4294967294" count="1" selected="0">
            <x v="0"/>
          </reference>
          <reference field="6" count="1" selected="0">
            <x v="3"/>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6" count="1" selected="0">
            <x v="3"/>
          </reference>
        </references>
      </pivotArea>
    </chartFormat>
    <chartFormat chart="11" format="19">
      <pivotArea type="data" outline="0" fieldPosition="0">
        <references count="2">
          <reference field="4294967294" count="1" selected="0">
            <x v="0"/>
          </reference>
          <reference field="6" count="1" selected="0">
            <x v="1"/>
          </reference>
        </references>
      </pivotArea>
    </chartFormat>
    <chartFormat chart="7"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A295B-1B57-49E8-986E-5EDF990A07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7:E19" firstHeaderRow="1" firstDataRow="1" firstDataCol="1"/>
  <pivotFields count="8">
    <pivotField showAll="0"/>
    <pivotField axis="axisRow" showAll="0">
      <items count="12">
        <item h="1" x="5"/>
        <item h="1" x="0"/>
        <item h="1" x="1"/>
        <item x="2"/>
        <item h="1" x="9"/>
        <item h="1" x="7"/>
        <item h="1" x="3"/>
        <item h="1" x="10"/>
        <item h="1" x="8"/>
        <item h="1" x="4"/>
        <item h="1" x="6"/>
        <item t="default"/>
      </items>
    </pivotField>
    <pivotField showAll="0">
      <items count="3">
        <item x="1"/>
        <item h="1" x="0"/>
        <item t="default"/>
      </items>
    </pivotField>
    <pivotField dataField="1" showAll="0">
      <items count="5">
        <item x="1"/>
        <item x="0"/>
        <item x="2"/>
        <item x="3"/>
        <item t="default"/>
      </items>
    </pivotField>
    <pivotField showAll="0"/>
    <pivotField showAll="0"/>
    <pivotField showAll="0"/>
    <pivotField showAll="0"/>
  </pivotFields>
  <rowFields count="1">
    <field x="1"/>
  </rowFields>
  <rowItems count="2">
    <i>
      <x v="3"/>
    </i>
    <i t="grand">
      <x/>
    </i>
  </rowItems>
  <colItems count="1">
    <i/>
  </colItems>
  <dataFields count="1">
    <dataField name="Count of Employee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21AFEE-7B12-4FAF-846F-7E2C19BEB243}"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5"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Employee ID" fld="1"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members count="1" level="1">
        <member name="[Table1].[Column4].&amp;[Full-Time]"/>
      </members>
    </pivotHierarchy>
    <pivotHierarchy dragToData="1"/>
    <pivotHierarchy dragToData="1"/>
    <pivotHierarchy dragToData="1"/>
    <pivotHierarchy dragToData="1"/>
    <pivotHierarchy multipleItemSelectionAllowed="1" dragToData="1">
      <members count="1" level="1">
        <member name="[Table2].[Employee ID].&amp;[3431]"/>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A48CE2-5766-4FEE-9061-01DD5A362AA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19" firstHeaderRow="1" firstDataRow="1" firstDataCol="1"/>
  <pivotFields count="8">
    <pivotField dataField="1" showAll="0"/>
    <pivotField showAll="0">
      <items count="12">
        <item h="1" x="5"/>
        <item h="1" x="0"/>
        <item h="1" x="1"/>
        <item x="2"/>
        <item h="1" x="9"/>
        <item h="1" x="7"/>
        <item h="1" x="3"/>
        <item h="1" x="10"/>
        <item h="1" x="8"/>
        <item h="1" x="4"/>
        <item h="1" x="6"/>
        <item t="default"/>
      </items>
    </pivotField>
    <pivotField showAll="0">
      <items count="3">
        <item x="1"/>
        <item h="1" x="0"/>
        <item t="default"/>
      </items>
    </pivotField>
    <pivotField showAll="0"/>
    <pivotField showAll="0"/>
    <pivotField showAll="0"/>
    <pivotField axis="axisRow" showAll="0">
      <items count="5">
        <item x="0"/>
        <item x="3"/>
        <item x="1"/>
        <item x="2"/>
        <item t="default"/>
      </items>
    </pivotField>
    <pivotField showAll="0"/>
  </pivotFields>
  <rowFields count="1">
    <field x="6"/>
  </rowFields>
  <rowItems count="3">
    <i>
      <x v="2"/>
    </i>
    <i>
      <x v="3"/>
    </i>
    <i t="grand">
      <x/>
    </i>
  </rowItems>
  <colItems count="1">
    <i/>
  </colItems>
  <dataFields count="1">
    <dataField name="Count of tittle"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4" xr10:uid="{5A28E449-FFD2-405A-BABF-1F255B3C7AA1}" sourceName="[Table1].[Column4]">
  <pivotTables>
    <pivotTable tabId="3" name="PivotTable2"/>
  </pivotTables>
  <data>
    <olap pivotCacheId="1895468795">
      <levels count="2">
        <level uniqueName="[Table1].[Column4].[(All)]" sourceCaption="(All)" count="0"/>
        <level uniqueName="[Table1].[Column4].[Column4]" sourceCaption="Column4" count="4">
          <ranges>
            <range startItem="0">
              <i n="[Table1].[Column4].&amp;[Contract]" c="Contract"/>
              <i n="[Table1].[Column4].&amp;[EmployeeType]" c="EmployeeType"/>
              <i n="[Table1].[Column4].&amp;[Full-Time]" c="Full-Time"/>
              <i n="[Table1].[Column4].&amp;[Part-Time]" c="Part-Time"/>
            </range>
          </ranges>
        </level>
      </levels>
      <selections count="1">
        <selection n="[Table1].[Column4].&amp;[Full-Tim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14C2971F-63C5-4ACA-88CA-36F0854F537E}" sourceName="businessUnit">
  <pivotTables>
    <pivotTable tabId="3" name="PivotTable14"/>
    <pivotTable tabId="3" name="PivotTable15"/>
    <pivotTable tabId="3" name="PivotTable17"/>
    <pivotTable tabId="3" name="PivotTable8"/>
  </pivotTables>
  <data>
    <tabular pivotCacheId="72156530">
      <items count="11">
        <i x="5"/>
        <i x="1"/>
        <i x="2" s="1"/>
        <i x="9"/>
        <i x="7"/>
        <i x="3"/>
        <i x="10"/>
        <i x="8"/>
        <i x="4"/>
        <i x="6"/>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8914628C-A126-4690-A56B-2A4779CFBF4C}" sourceName="employeeStatus">
  <pivotTables>
    <pivotTable tabId="3" name="PivotTable17"/>
    <pivotTable tabId="3" name="PivotTable14"/>
    <pivotTable tabId="3" name="PivotTable15"/>
    <pivotTable tabId="3" name="PivotTable8"/>
  </pivotTables>
  <data>
    <tabular pivotCacheId="72156530">
      <items count="2">
        <i x="1"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1" xr10:uid="{FA7B9605-EF4C-423D-BC48-52C275CACD2E}" sourceName="DepartmentType">
  <pivotTables>
    <pivotTable tabId="3" name="PivotTable14"/>
  </pivotTables>
  <data>
    <tabular pivotCacheId="72156530">
      <items count="4">
        <i x="1"/>
        <i x="2" s="1"/>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tle" xr10:uid="{BF96D648-2B36-4DBF-B75F-E312C584F99C}" sourceName="tittle">
  <pivotTables>
    <pivotTable tabId="3" name="PivotTable15"/>
  </pivotTables>
  <data>
    <tabular pivotCacheId="72156530">
      <items count="3">
        <i x="2" s="1"/>
        <i x="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tle" xr10:uid="{0FCF06EE-73C5-4F1B-820C-C490FF91B7A2}" cache="Slicer_tittle" caption="titt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4" xr10:uid="{24EF56C8-EFD9-4377-9129-A51024D3C7E6}" cache="Slicer_Column4" caption="Column4" level="1" rowHeight="234950"/>
  <slicer name="businessUnit" xr10:uid="{6CF4BEC7-BCDA-4006-9763-FBA74AF721D5}" cache="Slicer_businessUnit" caption="businessUnit" rowHeight="234950"/>
  <slicer name="employeeStatus" xr10:uid="{FB823484-ED22-4227-95FB-F6F6C788F0A8}" cache="Slicer_employeeStatus" caption="employeeStatus" rowHeight="234950"/>
  <slicer name="DepartmentType 1" xr10:uid="{14EECB93-A555-44E6-90C4-40A66C90BD35}" cache="Slicer_DepartmentType1" caption="Department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D335D-ABE1-4963-868A-C18C6404873A}" name="Table1" displayName="Table1" ref="C1:J51" totalsRowShown="0">
  <autoFilter ref="C1:J51" xr:uid="{006D335D-ABE1-4963-868A-C18C6404873A}"/>
  <tableColumns count="8">
    <tableColumn id="1" xr3:uid="{1F3155B3-43E7-485D-AB25-02A52CD557C6}" name="tittle"/>
    <tableColumn id="2" xr3:uid="{7E5FD344-6E70-4F80-9846-EEA87AC57DEB}" name="businessUnit"/>
    <tableColumn id="3" xr3:uid="{5C09BC3B-2C7F-4052-8F28-F1A53B380FDB}" name="employeeStatus"/>
    <tableColumn id="4" xr3:uid="{C2D765B6-89B0-4D70-8D30-9440EF3A4B32}" name="EmployeeType"/>
    <tableColumn id="5" xr3:uid="{6D54A8B5-4D2C-4722-9C84-D11C6E17EEC8}" name="PayZone"/>
    <tableColumn id="6" xr3:uid="{130623E5-EE57-40C6-A3A3-AC5B40142D18}" name="EmployeeClassificationType"/>
    <tableColumn id="7" xr3:uid="{48DB864D-BE01-4541-B7B6-179BFD6CEFFA}" name="DepartmentType"/>
    <tableColumn id="8" xr3:uid="{84EB9DBD-7D6B-4131-BF47-7AF888F9A0B0}" name="Column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926A5D-50E3-40FA-80B9-263E3CDF1A9A}" name="Table2" displayName="Table2" ref="A1:A50" totalsRowShown="0">
  <autoFilter ref="A1:A50" xr:uid="{29926A5D-50E3-40FA-80B9-263E3CDF1A9A}"/>
  <tableColumns count="1">
    <tableColumn id="1" xr3:uid="{2470CACA-B866-4AF5-A52E-BB4A01EE988B}" name="Employee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55B904-E1B3-4CBC-9BA2-7A9D59228BBB}" name="Table7" displayName="Table7" ref="L1:Q50" totalsRowShown="0">
  <autoFilter ref="L1:Q50" xr:uid="{3955B904-E1B3-4CBC-9BA2-7A9D59228BBB}"/>
  <tableColumns count="6">
    <tableColumn id="1" xr3:uid="{7DA3FEF6-27F1-40EF-9087-7C9D93A10684}" name="State"/>
    <tableColumn id="2" xr3:uid="{7954F56C-DB06-4169-88CB-3F9DF62FAC0B}" name="GenderCode"/>
    <tableColumn id="3" xr3:uid="{95B0C46A-BD52-4885-953A-A9AEDBA8FE67}" name="RaceDesc"/>
    <tableColumn id="4" xr3:uid="{B221F3CC-4E94-40B2-B104-2401FEDA7D4C}" name="MaritalDesc"/>
    <tableColumn id="5" xr3:uid="{CCD84606-83CC-438A-9ED8-DEBF0E5D9660}" name="Performance Score"/>
    <tableColumn id="6" xr3:uid="{9187DD59-8410-41FE-9F59-4CE29293B792}" name="Current Employee 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89433A-F270-4264-938A-0B99692166CD}" name="Table8" displayName="Table8" ref="S1:Z50" totalsRowShown="0">
  <autoFilter ref="S1:Z50" xr:uid="{2B89433A-F270-4264-938A-0B99692166CD}"/>
  <tableColumns count="8">
    <tableColumn id="1" xr3:uid="{E83856B4-3386-4EDE-8940-F303A26F01BC}" name="Engagement Score"/>
    <tableColumn id="2" xr3:uid="{B4A47FF8-6597-44F3-B3E0-872041074E1C}" name="Satisfaction Score"/>
    <tableColumn id="3" xr3:uid="{2DE3D470-3D89-4601-9DE7-575BC9BDBD83}" name="Work-Life Balance Score"/>
    <tableColumn id="4" xr3:uid="{CBCB5F92-0C33-4295-B259-B5D6FC7AA30E}" name="Column1"/>
    <tableColumn id="5" xr3:uid="{E978F66C-18E5-4EAE-BAAE-137A1834DC97}" name="Training Program Name"/>
    <tableColumn id="6" xr3:uid="{0F599454-ECCC-445B-A595-6719171AAA55}" name="Training Type"/>
    <tableColumn id="7" xr3:uid="{15E061F5-6978-4AF0-8E54-CE2A0CD4DC44}" name="Training Outcome"/>
    <tableColumn id="8" xr3:uid="{72E6BA2F-D393-4925-B794-82BBFCE658CD}" name="Training Duration(Day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C34CF37-D0AB-48D8-B1B1-0946B093AA10}" name="Table9" displayName="Table9" ref="AA1:AB50" totalsRowShown="0">
  <autoFilter ref="AA1:AB50" xr:uid="{3C34CF37-D0AB-48D8-B1B1-0946B093AA10}"/>
  <tableColumns count="2">
    <tableColumn id="1" xr3:uid="{A5EA6248-DC99-4728-9A44-453AD0D672F8}" name="Training Cost"/>
    <tableColumn id="2" xr3:uid="{C5E2C70A-986D-47B6-BAD1-A2CA362D742E}"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B2C7-7315-4766-B4CD-AF7609183900}">
  <dimension ref="A2:H37"/>
  <sheetViews>
    <sheetView zoomScale="65" workbookViewId="0">
      <selection activeCell="A2" sqref="A2"/>
    </sheetView>
  </sheetViews>
  <sheetFormatPr defaultRowHeight="13.8" x14ac:dyDescent="0.25"/>
  <cols>
    <col min="1" max="1" width="18.296875" bestFit="1" customWidth="1"/>
    <col min="2" max="2" width="19" bestFit="1" customWidth="1"/>
    <col min="3" max="3" width="11.59765625" customWidth="1"/>
    <col min="4" max="4" width="14.296875" bestFit="1" customWidth="1"/>
    <col min="5" max="5" width="22.3984375" bestFit="1" customWidth="1"/>
    <col min="6" max="7" width="14.296875" bestFit="1" customWidth="1"/>
    <col min="8" max="8" width="16.5" bestFit="1" customWidth="1"/>
    <col min="9" max="9" width="11.09765625" customWidth="1"/>
    <col min="10" max="10" width="8.19921875" customWidth="1"/>
    <col min="11" max="11" width="11.5" customWidth="1"/>
    <col min="12" max="12" width="16.69921875" customWidth="1"/>
    <col min="13" max="13" width="9.69921875" bestFit="1" customWidth="1"/>
  </cols>
  <sheetData>
    <row r="2" spans="1:8" x14ac:dyDescent="0.25">
      <c r="F2" s="1" t="s">
        <v>108</v>
      </c>
      <c r="G2" t="s">
        <v>115</v>
      </c>
    </row>
    <row r="3" spans="1:8" x14ac:dyDescent="0.25">
      <c r="A3" s="1" t="s">
        <v>108</v>
      </c>
      <c r="B3" t="s">
        <v>110</v>
      </c>
      <c r="F3" s="2" t="s">
        <v>53</v>
      </c>
      <c r="G3">
        <v>3</v>
      </c>
    </row>
    <row r="4" spans="1:8" x14ac:dyDescent="0.25">
      <c r="A4" s="2" t="s">
        <v>49</v>
      </c>
      <c r="B4">
        <v>169286</v>
      </c>
      <c r="F4" s="2" t="s">
        <v>109</v>
      </c>
      <c r="G4">
        <v>3</v>
      </c>
    </row>
    <row r="5" spans="1:8" x14ac:dyDescent="0.25">
      <c r="A5" s="2" t="s">
        <v>109</v>
      </c>
      <c r="B5">
        <v>169286</v>
      </c>
    </row>
    <row r="11" spans="1:8" x14ac:dyDescent="0.25">
      <c r="G11" s="1" t="s">
        <v>108</v>
      </c>
      <c r="H11" t="s">
        <v>116</v>
      </c>
    </row>
    <row r="12" spans="1:8" x14ac:dyDescent="0.25">
      <c r="G12" s="2" t="s">
        <v>51</v>
      </c>
      <c r="H12">
        <v>1</v>
      </c>
    </row>
    <row r="13" spans="1:8" x14ac:dyDescent="0.25">
      <c r="G13" s="2" t="s">
        <v>29</v>
      </c>
      <c r="H13">
        <v>2</v>
      </c>
    </row>
    <row r="14" spans="1:8" x14ac:dyDescent="0.25">
      <c r="G14" s="2" t="s">
        <v>109</v>
      </c>
      <c r="H14">
        <v>3</v>
      </c>
    </row>
    <row r="16" spans="1:8" x14ac:dyDescent="0.25">
      <c r="A16" s="1" t="s">
        <v>108</v>
      </c>
      <c r="B16" t="s">
        <v>117</v>
      </c>
    </row>
    <row r="17" spans="1:5" x14ac:dyDescent="0.25">
      <c r="A17" s="2" t="s">
        <v>30</v>
      </c>
      <c r="B17">
        <v>1</v>
      </c>
      <c r="D17" s="1" t="s">
        <v>108</v>
      </c>
      <c r="E17" t="s">
        <v>114</v>
      </c>
    </row>
    <row r="18" spans="1:5" x14ac:dyDescent="0.25">
      <c r="A18" s="2" t="s">
        <v>53</v>
      </c>
      <c r="B18">
        <v>3</v>
      </c>
      <c r="D18" s="2" t="s">
        <v>40</v>
      </c>
      <c r="E18">
        <v>4</v>
      </c>
    </row>
    <row r="19" spans="1:5" x14ac:dyDescent="0.25">
      <c r="A19" s="2" t="s">
        <v>109</v>
      </c>
      <c r="B19">
        <v>4</v>
      </c>
      <c r="D19" s="2" t="s">
        <v>109</v>
      </c>
      <c r="E19">
        <v>4</v>
      </c>
    </row>
    <row r="36" spans="1:1" x14ac:dyDescent="0.25">
      <c r="A36" t="s">
        <v>110</v>
      </c>
    </row>
    <row r="37" spans="1:1" x14ac:dyDescent="0.25">
      <c r="A37">
        <v>169286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875C-F4C9-40AA-AD66-1D70104DC092}">
  <dimension ref="A1"/>
  <sheetViews>
    <sheetView showFormulas="1" topLeftCell="A33" zoomScale="31" zoomScaleNormal="40" workbookViewId="0">
      <selection activeCell="AF15" sqref="AF15"/>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9F40-EEEE-4401-9F1F-66F6DB37DD8F}">
  <dimension ref="A1:AE51"/>
  <sheetViews>
    <sheetView tabSelected="1" topLeftCell="W1" workbookViewId="0">
      <selection activeCell="AL19" sqref="AL19"/>
    </sheetView>
  </sheetViews>
  <sheetFormatPr defaultRowHeight="13.8" x14ac:dyDescent="0.25"/>
  <cols>
    <col min="1" max="1" width="13.796875" customWidth="1"/>
    <col min="2" max="2" width="9.765625E-2" customWidth="1"/>
    <col min="3" max="3" width="20.3984375" customWidth="1"/>
    <col min="4" max="4" width="13.296875" customWidth="1"/>
    <col min="5" max="5" width="14.8984375" customWidth="1"/>
    <col min="6" max="6" width="14.5" customWidth="1"/>
    <col min="7" max="7" width="11.296875" customWidth="1"/>
    <col min="8" max="8" width="24.296875" customWidth="1"/>
    <col min="9" max="9" width="15.69921875" customWidth="1"/>
    <col min="10" max="10" width="25.5" customWidth="1"/>
    <col min="11" max="11" width="8.796875" hidden="1" customWidth="1"/>
    <col min="12" max="12" width="11.69921875" customWidth="1"/>
    <col min="13" max="13" width="15" customWidth="1"/>
    <col min="14" max="14" width="13.5" customWidth="1"/>
    <col min="15" max="15" width="15" customWidth="1"/>
    <col min="16" max="16" width="18.796875" customWidth="1"/>
    <col min="17" max="17" width="23.69921875" customWidth="1"/>
    <col min="18" max="18" width="9.765625E-2" customWidth="1"/>
    <col min="19" max="19" width="18.5" customWidth="1"/>
    <col min="20" max="20" width="17.69921875" customWidth="1"/>
    <col min="21" max="21" width="23.09765625" customWidth="1"/>
    <col min="22" max="22" width="8.796875" hidden="1" customWidth="1"/>
    <col min="23" max="23" width="24.796875" customWidth="1"/>
    <col min="24" max="24" width="16.296875" customWidth="1"/>
    <col min="25" max="25" width="17.796875" customWidth="1"/>
    <col min="26" max="26" width="22.69921875" customWidth="1"/>
    <col min="27" max="27" width="13.69921875" customWidth="1"/>
  </cols>
  <sheetData>
    <row r="1" spans="1:31" x14ac:dyDescent="0.25">
      <c r="A1" t="s">
        <v>0</v>
      </c>
      <c r="C1" t="s">
        <v>111</v>
      </c>
      <c r="D1" t="s">
        <v>112</v>
      </c>
      <c r="E1" t="s">
        <v>113</v>
      </c>
      <c r="F1" t="s">
        <v>4</v>
      </c>
      <c r="G1" t="s">
        <v>5</v>
      </c>
      <c r="H1" t="s">
        <v>6</v>
      </c>
      <c r="I1" t="s">
        <v>7</v>
      </c>
      <c r="J1" t="s">
        <v>100</v>
      </c>
      <c r="L1" t="s">
        <v>9</v>
      </c>
      <c r="M1" t="s">
        <v>10</v>
      </c>
      <c r="N1" t="s">
        <v>11</v>
      </c>
      <c r="O1" t="s">
        <v>12</v>
      </c>
      <c r="P1" t="s">
        <v>13</v>
      </c>
      <c r="Q1" t="s">
        <v>14</v>
      </c>
      <c r="S1" t="s">
        <v>15</v>
      </c>
      <c r="T1" t="s">
        <v>16</v>
      </c>
      <c r="U1" t="s">
        <v>17</v>
      </c>
      <c r="V1" t="s">
        <v>99</v>
      </c>
      <c r="W1" t="s">
        <v>18</v>
      </c>
      <c r="X1" t="s">
        <v>19</v>
      </c>
      <c r="Y1" t="s">
        <v>20</v>
      </c>
      <c r="Z1" t="s">
        <v>21</v>
      </c>
      <c r="AA1" t="s">
        <v>22</v>
      </c>
      <c r="AB1" t="s">
        <v>23</v>
      </c>
    </row>
    <row r="2" spans="1:31" x14ac:dyDescent="0.25">
      <c r="A2">
        <v>3427</v>
      </c>
      <c r="C2" t="s">
        <v>1</v>
      </c>
      <c r="D2" t="s">
        <v>2</v>
      </c>
      <c r="E2" t="s">
        <v>3</v>
      </c>
      <c r="F2" t="s">
        <v>4</v>
      </c>
      <c r="G2" t="s">
        <v>5</v>
      </c>
      <c r="H2" t="s">
        <v>6</v>
      </c>
      <c r="I2" t="s">
        <v>7</v>
      </c>
      <c r="J2" t="s">
        <v>8</v>
      </c>
      <c r="L2" t="s">
        <v>32</v>
      </c>
      <c r="M2" t="s">
        <v>33</v>
      </c>
      <c r="N2" t="s">
        <v>34</v>
      </c>
      <c r="O2" t="s">
        <v>35</v>
      </c>
      <c r="P2" t="s">
        <v>36</v>
      </c>
      <c r="Q2">
        <v>4</v>
      </c>
      <c r="S2">
        <v>1</v>
      </c>
      <c r="T2">
        <v>2</v>
      </c>
      <c r="U2">
        <v>3</v>
      </c>
      <c r="W2" t="s">
        <v>37</v>
      </c>
      <c r="X2" t="s">
        <v>38</v>
      </c>
      <c r="Y2" t="s">
        <v>39</v>
      </c>
      <c r="Z2">
        <v>2</v>
      </c>
      <c r="AA2">
        <v>606.11</v>
      </c>
      <c r="AB2">
        <v>50</v>
      </c>
    </row>
    <row r="3" spans="1:31" x14ac:dyDescent="0.25">
      <c r="A3">
        <v>3428</v>
      </c>
      <c r="C3" t="s">
        <v>24</v>
      </c>
      <c r="D3" t="s">
        <v>25</v>
      </c>
      <c r="E3" t="s">
        <v>26</v>
      </c>
      <c r="F3" t="s">
        <v>27</v>
      </c>
      <c r="G3" t="s">
        <v>28</v>
      </c>
      <c r="H3" t="s">
        <v>29</v>
      </c>
      <c r="I3" t="s">
        <v>30</v>
      </c>
      <c r="J3" t="s">
        <v>31</v>
      </c>
      <c r="L3" t="s">
        <v>32</v>
      </c>
      <c r="M3" t="s">
        <v>44</v>
      </c>
      <c r="N3" t="s">
        <v>45</v>
      </c>
      <c r="O3" t="s">
        <v>35</v>
      </c>
      <c r="P3" t="s">
        <v>36</v>
      </c>
      <c r="Q3">
        <v>3</v>
      </c>
      <c r="S3">
        <v>2</v>
      </c>
      <c r="T3">
        <v>1</v>
      </c>
      <c r="U3">
        <v>5</v>
      </c>
      <c r="W3" t="s">
        <v>46</v>
      </c>
      <c r="X3" t="s">
        <v>47</v>
      </c>
      <c r="Y3" t="s">
        <v>48</v>
      </c>
      <c r="Z3">
        <v>4</v>
      </c>
      <c r="AA3">
        <v>673.02</v>
      </c>
      <c r="AB3">
        <v>58</v>
      </c>
      <c r="AD3" t="s">
        <v>101</v>
      </c>
    </row>
    <row r="4" spans="1:31" x14ac:dyDescent="0.25">
      <c r="A4">
        <v>3429</v>
      </c>
      <c r="C4" t="s">
        <v>24</v>
      </c>
      <c r="D4" t="s">
        <v>40</v>
      </c>
      <c r="E4" t="s">
        <v>26</v>
      </c>
      <c r="F4" t="s">
        <v>27</v>
      </c>
      <c r="G4" t="s">
        <v>41</v>
      </c>
      <c r="H4" t="s">
        <v>42</v>
      </c>
      <c r="I4" t="s">
        <v>30</v>
      </c>
      <c r="J4" t="s">
        <v>43</v>
      </c>
      <c r="L4" t="s">
        <v>32</v>
      </c>
      <c r="M4" t="s">
        <v>44</v>
      </c>
      <c r="N4" t="s">
        <v>45</v>
      </c>
      <c r="O4" t="s">
        <v>35</v>
      </c>
      <c r="P4" t="s">
        <v>36</v>
      </c>
      <c r="Q4">
        <v>4</v>
      </c>
      <c r="S4">
        <v>1</v>
      </c>
      <c r="T4">
        <v>2</v>
      </c>
      <c r="U4">
        <v>1</v>
      </c>
      <c r="W4" t="s">
        <v>37</v>
      </c>
      <c r="X4" t="s">
        <v>47</v>
      </c>
      <c r="Y4" t="s">
        <v>39</v>
      </c>
      <c r="Z4">
        <v>2</v>
      </c>
      <c r="AA4">
        <v>413.28</v>
      </c>
      <c r="AB4">
        <v>27</v>
      </c>
      <c r="AD4">
        <f>SUM(Table7[[#All],[Current Employee Rating]])</f>
        <v>150</v>
      </c>
    </row>
    <row r="5" spans="1:31" x14ac:dyDescent="0.25">
      <c r="A5">
        <v>3430</v>
      </c>
      <c r="C5" t="s">
        <v>49</v>
      </c>
      <c r="D5" t="s">
        <v>50</v>
      </c>
      <c r="E5" t="s">
        <v>26</v>
      </c>
      <c r="F5" t="s">
        <v>51</v>
      </c>
      <c r="G5" t="s">
        <v>52</v>
      </c>
      <c r="H5" t="s">
        <v>42</v>
      </c>
      <c r="I5" t="s">
        <v>53</v>
      </c>
      <c r="J5" t="s">
        <v>54</v>
      </c>
      <c r="L5" t="s">
        <v>55</v>
      </c>
      <c r="M5" t="s">
        <v>44</v>
      </c>
      <c r="N5" t="s">
        <v>56</v>
      </c>
      <c r="O5" t="s">
        <v>57</v>
      </c>
      <c r="P5" t="s">
        <v>36</v>
      </c>
      <c r="Q5">
        <v>2</v>
      </c>
      <c r="S5">
        <v>5</v>
      </c>
      <c r="T5">
        <v>5</v>
      </c>
      <c r="U5">
        <v>4</v>
      </c>
      <c r="W5" t="s">
        <v>58</v>
      </c>
      <c r="X5" t="s">
        <v>47</v>
      </c>
      <c r="Y5" t="s">
        <v>59</v>
      </c>
      <c r="Z5">
        <v>3</v>
      </c>
      <c r="AA5">
        <v>663.78</v>
      </c>
      <c r="AB5">
        <v>23</v>
      </c>
    </row>
    <row r="6" spans="1:31" x14ac:dyDescent="0.25">
      <c r="A6">
        <v>3431</v>
      </c>
      <c r="C6" t="s">
        <v>49</v>
      </c>
      <c r="D6" t="s">
        <v>25</v>
      </c>
      <c r="E6" t="s">
        <v>26</v>
      </c>
      <c r="F6" t="s">
        <v>27</v>
      </c>
      <c r="G6" t="s">
        <v>41</v>
      </c>
      <c r="H6" t="s">
        <v>51</v>
      </c>
      <c r="I6" t="s">
        <v>53</v>
      </c>
      <c r="J6" t="s">
        <v>31</v>
      </c>
      <c r="L6" t="s">
        <v>62</v>
      </c>
      <c r="M6" t="s">
        <v>33</v>
      </c>
      <c r="N6" t="s">
        <v>56</v>
      </c>
      <c r="O6" t="s">
        <v>63</v>
      </c>
      <c r="P6" t="s">
        <v>36</v>
      </c>
      <c r="Q6">
        <v>3</v>
      </c>
      <c r="S6">
        <v>2</v>
      </c>
      <c r="T6">
        <v>5</v>
      </c>
      <c r="U6">
        <v>3</v>
      </c>
      <c r="W6" t="s">
        <v>64</v>
      </c>
      <c r="X6" t="s">
        <v>47</v>
      </c>
      <c r="Y6" t="s">
        <v>39</v>
      </c>
      <c r="Z6">
        <v>5</v>
      </c>
      <c r="AA6">
        <v>399.03</v>
      </c>
      <c r="AB6">
        <v>50</v>
      </c>
      <c r="AD6" t="s">
        <v>102</v>
      </c>
    </row>
    <row r="7" spans="1:31" x14ac:dyDescent="0.25">
      <c r="A7">
        <v>3432</v>
      </c>
      <c r="C7" t="s">
        <v>49</v>
      </c>
      <c r="D7" t="s">
        <v>60</v>
      </c>
      <c r="E7" t="s">
        <v>26</v>
      </c>
      <c r="F7" t="s">
        <v>27</v>
      </c>
      <c r="G7" t="s">
        <v>41</v>
      </c>
      <c r="H7" t="s">
        <v>29</v>
      </c>
      <c r="I7" t="s">
        <v>53</v>
      </c>
      <c r="J7" t="s">
        <v>61</v>
      </c>
      <c r="L7" t="s">
        <v>67</v>
      </c>
      <c r="M7" t="s">
        <v>44</v>
      </c>
      <c r="N7" t="s">
        <v>68</v>
      </c>
      <c r="O7" t="s">
        <v>63</v>
      </c>
      <c r="P7" t="s">
        <v>36</v>
      </c>
      <c r="Q7">
        <v>3</v>
      </c>
      <c r="S7">
        <v>2</v>
      </c>
      <c r="T7">
        <v>3</v>
      </c>
      <c r="U7">
        <v>5</v>
      </c>
      <c r="W7" t="s">
        <v>58</v>
      </c>
      <c r="X7" t="s">
        <v>38</v>
      </c>
      <c r="Y7" t="s">
        <v>69</v>
      </c>
      <c r="Z7">
        <v>2</v>
      </c>
      <c r="AA7">
        <v>820.33</v>
      </c>
      <c r="AB7">
        <v>71</v>
      </c>
      <c r="AD7">
        <f>SUM(Table8[[#All],[Engagement Score]])</f>
        <v>147</v>
      </c>
    </row>
    <row r="8" spans="1:31" x14ac:dyDescent="0.25">
      <c r="A8">
        <v>3433</v>
      </c>
      <c r="C8" t="s">
        <v>49</v>
      </c>
      <c r="D8" t="s">
        <v>65</v>
      </c>
      <c r="E8" t="s">
        <v>26</v>
      </c>
      <c r="F8" t="s">
        <v>27</v>
      </c>
      <c r="G8" t="s">
        <v>52</v>
      </c>
      <c r="H8" t="s">
        <v>51</v>
      </c>
      <c r="I8" t="s">
        <v>53</v>
      </c>
      <c r="J8" t="s">
        <v>66</v>
      </c>
      <c r="L8" t="s">
        <v>72</v>
      </c>
      <c r="M8" t="s">
        <v>33</v>
      </c>
      <c r="N8" t="s">
        <v>45</v>
      </c>
      <c r="O8" t="s">
        <v>73</v>
      </c>
      <c r="P8" t="s">
        <v>74</v>
      </c>
      <c r="Q8">
        <v>4</v>
      </c>
      <c r="S8">
        <v>1</v>
      </c>
      <c r="T8">
        <v>5</v>
      </c>
      <c r="U8">
        <v>2</v>
      </c>
      <c r="W8" t="s">
        <v>46</v>
      </c>
      <c r="X8" t="s">
        <v>47</v>
      </c>
      <c r="Y8" t="s">
        <v>69</v>
      </c>
      <c r="Z8">
        <v>5</v>
      </c>
      <c r="AA8">
        <v>295.08</v>
      </c>
      <c r="AB8">
        <v>80</v>
      </c>
    </row>
    <row r="9" spans="1:31" x14ac:dyDescent="0.25">
      <c r="A9">
        <v>3434</v>
      </c>
      <c r="C9" t="s">
        <v>49</v>
      </c>
      <c r="D9" t="s">
        <v>70</v>
      </c>
      <c r="E9" t="s">
        <v>26</v>
      </c>
      <c r="F9" t="s">
        <v>51</v>
      </c>
      <c r="G9" t="s">
        <v>52</v>
      </c>
      <c r="H9" t="s">
        <v>29</v>
      </c>
      <c r="I9" t="s">
        <v>53</v>
      </c>
      <c r="J9" t="s">
        <v>71</v>
      </c>
      <c r="L9" t="s">
        <v>76</v>
      </c>
      <c r="M9" t="s">
        <v>33</v>
      </c>
      <c r="N9" t="s">
        <v>34</v>
      </c>
      <c r="O9" t="s">
        <v>73</v>
      </c>
      <c r="P9" t="s">
        <v>36</v>
      </c>
      <c r="Q9">
        <v>2</v>
      </c>
      <c r="S9">
        <v>1</v>
      </c>
      <c r="T9">
        <v>4</v>
      </c>
      <c r="U9">
        <v>2</v>
      </c>
      <c r="W9" t="s">
        <v>37</v>
      </c>
      <c r="X9" t="s">
        <v>38</v>
      </c>
      <c r="Y9" t="s">
        <v>69</v>
      </c>
      <c r="Z9">
        <v>3</v>
      </c>
      <c r="AA9">
        <v>790.15</v>
      </c>
      <c r="AB9">
        <v>63</v>
      </c>
      <c r="AD9" t="s">
        <v>103</v>
      </c>
    </row>
    <row r="10" spans="1:31" x14ac:dyDescent="0.25">
      <c r="A10">
        <v>3435</v>
      </c>
      <c r="C10" t="s">
        <v>49</v>
      </c>
      <c r="D10" t="s">
        <v>25</v>
      </c>
      <c r="E10" t="s">
        <v>26</v>
      </c>
      <c r="F10" t="s">
        <v>27</v>
      </c>
      <c r="G10" t="s">
        <v>28</v>
      </c>
      <c r="H10" t="s">
        <v>51</v>
      </c>
      <c r="I10" t="s">
        <v>53</v>
      </c>
      <c r="J10" t="s">
        <v>75</v>
      </c>
      <c r="L10" t="s">
        <v>79</v>
      </c>
      <c r="M10" t="s">
        <v>44</v>
      </c>
      <c r="N10" t="s">
        <v>68</v>
      </c>
      <c r="O10" t="s">
        <v>35</v>
      </c>
      <c r="P10" t="s">
        <v>74</v>
      </c>
      <c r="Q10">
        <v>3</v>
      </c>
      <c r="S10">
        <v>4</v>
      </c>
      <c r="T10">
        <v>3</v>
      </c>
      <c r="U10">
        <v>3</v>
      </c>
      <c r="W10" t="s">
        <v>46</v>
      </c>
      <c r="X10" t="s">
        <v>38</v>
      </c>
      <c r="Y10" t="s">
        <v>69</v>
      </c>
      <c r="Z10">
        <v>3</v>
      </c>
      <c r="AA10">
        <v>798.4</v>
      </c>
      <c r="AB10">
        <v>44</v>
      </c>
      <c r="AD10">
        <f>SUM(Table8[[#All],[Satisfaction Score]])</f>
        <v>152</v>
      </c>
    </row>
    <row r="11" spans="1:31" x14ac:dyDescent="0.25">
      <c r="A11">
        <v>3436</v>
      </c>
      <c r="C11" t="s">
        <v>49</v>
      </c>
      <c r="D11" t="s">
        <v>77</v>
      </c>
      <c r="E11" t="s">
        <v>26</v>
      </c>
      <c r="F11" t="s">
        <v>27</v>
      </c>
      <c r="G11" t="s">
        <v>52</v>
      </c>
      <c r="H11" t="s">
        <v>42</v>
      </c>
      <c r="I11" t="s">
        <v>53</v>
      </c>
      <c r="J11" t="s">
        <v>78</v>
      </c>
      <c r="L11" t="s">
        <v>79</v>
      </c>
      <c r="M11" t="s">
        <v>44</v>
      </c>
      <c r="N11" t="s">
        <v>80</v>
      </c>
      <c r="O11" t="s">
        <v>35</v>
      </c>
      <c r="P11" t="s">
        <v>36</v>
      </c>
      <c r="Q11">
        <v>5</v>
      </c>
      <c r="S11">
        <v>5</v>
      </c>
      <c r="T11">
        <v>5</v>
      </c>
      <c r="U11">
        <v>2</v>
      </c>
      <c r="W11" t="s">
        <v>37</v>
      </c>
      <c r="X11" t="s">
        <v>38</v>
      </c>
      <c r="Y11" t="s">
        <v>39</v>
      </c>
      <c r="Z11">
        <v>5</v>
      </c>
      <c r="AA11">
        <v>192.61</v>
      </c>
      <c r="AB11">
        <v>73</v>
      </c>
    </row>
    <row r="12" spans="1:31" x14ac:dyDescent="0.25">
      <c r="A12">
        <v>3437</v>
      </c>
      <c r="C12" t="s">
        <v>49</v>
      </c>
      <c r="D12" t="s">
        <v>65</v>
      </c>
      <c r="E12" t="s">
        <v>26</v>
      </c>
      <c r="F12" t="s">
        <v>42</v>
      </c>
      <c r="G12" t="s">
        <v>52</v>
      </c>
      <c r="H12" t="s">
        <v>29</v>
      </c>
      <c r="I12" t="s">
        <v>53</v>
      </c>
      <c r="J12" t="s">
        <v>75</v>
      </c>
      <c r="L12" t="s">
        <v>82</v>
      </c>
      <c r="M12" t="s">
        <v>33</v>
      </c>
      <c r="N12" t="s">
        <v>56</v>
      </c>
      <c r="O12" t="s">
        <v>57</v>
      </c>
      <c r="P12" t="s">
        <v>36</v>
      </c>
      <c r="Q12">
        <v>5</v>
      </c>
      <c r="S12">
        <v>3</v>
      </c>
      <c r="T12">
        <v>2</v>
      </c>
      <c r="U12">
        <v>5</v>
      </c>
      <c r="W12" t="s">
        <v>64</v>
      </c>
      <c r="X12" t="s">
        <v>38</v>
      </c>
      <c r="Y12" t="s">
        <v>39</v>
      </c>
      <c r="Z12">
        <v>1</v>
      </c>
      <c r="AA12">
        <v>455.68</v>
      </c>
      <c r="AB12">
        <v>59</v>
      </c>
      <c r="AD12" t="s">
        <v>104</v>
      </c>
      <c r="AE12" t="s">
        <v>105</v>
      </c>
    </row>
    <row r="13" spans="1:31" x14ac:dyDescent="0.25">
      <c r="A13">
        <v>3438</v>
      </c>
      <c r="C13" t="s">
        <v>49</v>
      </c>
      <c r="D13" t="s">
        <v>81</v>
      </c>
      <c r="E13" t="s">
        <v>26</v>
      </c>
      <c r="F13" t="s">
        <v>27</v>
      </c>
      <c r="G13" t="s">
        <v>52</v>
      </c>
      <c r="H13" t="s">
        <v>29</v>
      </c>
      <c r="I13" t="s">
        <v>53</v>
      </c>
      <c r="J13" t="s">
        <v>66</v>
      </c>
      <c r="L13" t="s">
        <v>84</v>
      </c>
      <c r="M13" t="s">
        <v>33</v>
      </c>
      <c r="N13" t="s">
        <v>80</v>
      </c>
      <c r="O13" t="s">
        <v>63</v>
      </c>
      <c r="P13" t="s">
        <v>36</v>
      </c>
      <c r="Q13">
        <v>3</v>
      </c>
      <c r="S13">
        <v>4</v>
      </c>
      <c r="T13">
        <v>2</v>
      </c>
      <c r="U13">
        <v>5</v>
      </c>
      <c r="W13" t="s">
        <v>64</v>
      </c>
      <c r="X13" t="s">
        <v>38</v>
      </c>
      <c r="Y13" t="s">
        <v>39</v>
      </c>
      <c r="Z13">
        <v>2</v>
      </c>
      <c r="AA13">
        <v>208.17</v>
      </c>
      <c r="AB13">
        <v>70</v>
      </c>
      <c r="AD13">
        <f>MIN(Table9[[#All],[Training Cost]])</f>
        <v>109.98</v>
      </c>
    </row>
    <row r="14" spans="1:31" x14ac:dyDescent="0.25">
      <c r="A14">
        <v>3439</v>
      </c>
      <c r="C14" t="s">
        <v>49</v>
      </c>
      <c r="D14" t="s">
        <v>83</v>
      </c>
      <c r="E14" t="s">
        <v>26</v>
      </c>
      <c r="F14" t="s">
        <v>51</v>
      </c>
      <c r="G14" t="s">
        <v>28</v>
      </c>
      <c r="H14" t="s">
        <v>29</v>
      </c>
      <c r="I14" t="s">
        <v>53</v>
      </c>
      <c r="J14" t="s">
        <v>61</v>
      </c>
      <c r="L14" t="s">
        <v>86</v>
      </c>
      <c r="M14" t="s">
        <v>44</v>
      </c>
      <c r="N14" t="s">
        <v>56</v>
      </c>
      <c r="O14" t="s">
        <v>57</v>
      </c>
      <c r="P14" t="s">
        <v>36</v>
      </c>
      <c r="Q14">
        <v>3</v>
      </c>
      <c r="S14">
        <v>1</v>
      </c>
      <c r="T14">
        <v>2</v>
      </c>
      <c r="U14">
        <v>5</v>
      </c>
      <c r="W14" t="s">
        <v>64</v>
      </c>
      <c r="X14" t="s">
        <v>47</v>
      </c>
      <c r="Y14" t="s">
        <v>48</v>
      </c>
      <c r="Z14">
        <v>1</v>
      </c>
      <c r="AA14">
        <v>421.07</v>
      </c>
      <c r="AB14">
        <v>41</v>
      </c>
    </row>
    <row r="15" spans="1:31" x14ac:dyDescent="0.25">
      <c r="A15">
        <v>3440</v>
      </c>
      <c r="C15" t="s">
        <v>49</v>
      </c>
      <c r="D15" t="s">
        <v>40</v>
      </c>
      <c r="E15" t="s">
        <v>26</v>
      </c>
      <c r="F15" t="s">
        <v>51</v>
      </c>
      <c r="G15" t="s">
        <v>41</v>
      </c>
      <c r="H15" t="s">
        <v>29</v>
      </c>
      <c r="I15" t="s">
        <v>53</v>
      </c>
      <c r="J15" t="s">
        <v>85</v>
      </c>
      <c r="L15" t="s">
        <v>87</v>
      </c>
      <c r="M15" t="s">
        <v>33</v>
      </c>
      <c r="N15" t="s">
        <v>34</v>
      </c>
      <c r="O15" t="s">
        <v>73</v>
      </c>
      <c r="P15" t="s">
        <v>36</v>
      </c>
      <c r="Q15">
        <v>3</v>
      </c>
      <c r="S15">
        <v>1</v>
      </c>
      <c r="T15">
        <v>4</v>
      </c>
      <c r="U15">
        <v>5</v>
      </c>
      <c r="W15" t="s">
        <v>88</v>
      </c>
      <c r="X15" t="s">
        <v>47</v>
      </c>
      <c r="Y15" t="s">
        <v>39</v>
      </c>
      <c r="Z15">
        <v>1</v>
      </c>
      <c r="AA15">
        <v>649.03</v>
      </c>
      <c r="AB15">
        <v>68</v>
      </c>
      <c r="AD15" t="s">
        <v>106</v>
      </c>
    </row>
    <row r="16" spans="1:31" x14ac:dyDescent="0.25">
      <c r="A16">
        <v>3441</v>
      </c>
      <c r="C16" t="s">
        <v>49</v>
      </c>
      <c r="D16" t="s">
        <v>25</v>
      </c>
      <c r="E16" t="s">
        <v>26</v>
      </c>
      <c r="F16" t="s">
        <v>27</v>
      </c>
      <c r="G16" t="s">
        <v>41</v>
      </c>
      <c r="H16" t="s">
        <v>51</v>
      </c>
      <c r="I16" t="s">
        <v>53</v>
      </c>
      <c r="J16" t="s">
        <v>31</v>
      </c>
      <c r="L16" t="s">
        <v>89</v>
      </c>
      <c r="M16" t="s">
        <v>44</v>
      </c>
      <c r="N16" t="s">
        <v>80</v>
      </c>
      <c r="O16" t="s">
        <v>35</v>
      </c>
      <c r="P16" t="s">
        <v>74</v>
      </c>
      <c r="Q16">
        <v>4</v>
      </c>
      <c r="S16">
        <v>4</v>
      </c>
      <c r="T16">
        <v>2</v>
      </c>
      <c r="U16">
        <v>5</v>
      </c>
      <c r="W16" t="s">
        <v>58</v>
      </c>
      <c r="X16" t="s">
        <v>38</v>
      </c>
      <c r="Y16" t="s">
        <v>69</v>
      </c>
      <c r="Z16">
        <v>4</v>
      </c>
      <c r="AA16">
        <v>450.2</v>
      </c>
      <c r="AB16">
        <v>30</v>
      </c>
      <c r="AD16">
        <f>MAX(Table9[[#All],[Training Cost]])</f>
        <v>964.44</v>
      </c>
    </row>
    <row r="17" spans="1:30" x14ac:dyDescent="0.25">
      <c r="A17">
        <v>3442</v>
      </c>
      <c r="C17" t="s">
        <v>49</v>
      </c>
      <c r="D17" t="s">
        <v>65</v>
      </c>
      <c r="E17" t="s">
        <v>26</v>
      </c>
      <c r="F17" t="s">
        <v>42</v>
      </c>
      <c r="G17" t="s">
        <v>41</v>
      </c>
      <c r="H17" t="s">
        <v>42</v>
      </c>
      <c r="I17" t="s">
        <v>53</v>
      </c>
      <c r="J17" t="s">
        <v>61</v>
      </c>
      <c r="L17" t="s">
        <v>32</v>
      </c>
      <c r="M17" t="s">
        <v>44</v>
      </c>
      <c r="N17" t="s">
        <v>68</v>
      </c>
      <c r="O17" t="s">
        <v>57</v>
      </c>
      <c r="P17" t="s">
        <v>74</v>
      </c>
      <c r="Q17">
        <v>2</v>
      </c>
      <c r="S17">
        <v>2</v>
      </c>
      <c r="T17">
        <v>5</v>
      </c>
      <c r="U17">
        <v>3</v>
      </c>
      <c r="W17" t="s">
        <v>58</v>
      </c>
      <c r="X17" t="s">
        <v>47</v>
      </c>
      <c r="Y17" t="s">
        <v>39</v>
      </c>
      <c r="Z17">
        <v>4</v>
      </c>
      <c r="AA17">
        <v>286.87</v>
      </c>
      <c r="AB17">
        <v>67</v>
      </c>
    </row>
    <row r="18" spans="1:30" x14ac:dyDescent="0.25">
      <c r="A18">
        <v>3443</v>
      </c>
      <c r="C18" t="s">
        <v>49</v>
      </c>
      <c r="D18" t="s">
        <v>90</v>
      </c>
      <c r="E18" t="s">
        <v>26</v>
      </c>
      <c r="F18" t="s">
        <v>51</v>
      </c>
      <c r="G18" t="s">
        <v>41</v>
      </c>
      <c r="H18" t="s">
        <v>51</v>
      </c>
      <c r="I18" t="s">
        <v>91</v>
      </c>
      <c r="J18" t="s">
        <v>66</v>
      </c>
      <c r="L18" t="s">
        <v>87</v>
      </c>
      <c r="M18" t="s">
        <v>44</v>
      </c>
      <c r="N18" t="s">
        <v>80</v>
      </c>
      <c r="O18" t="s">
        <v>35</v>
      </c>
      <c r="P18" t="s">
        <v>36</v>
      </c>
      <c r="Q18">
        <v>3</v>
      </c>
      <c r="S18">
        <v>2</v>
      </c>
      <c r="T18">
        <v>2</v>
      </c>
      <c r="U18">
        <v>4</v>
      </c>
      <c r="W18" t="s">
        <v>64</v>
      </c>
      <c r="X18" t="s">
        <v>47</v>
      </c>
      <c r="Y18" t="s">
        <v>39</v>
      </c>
      <c r="Z18">
        <v>3</v>
      </c>
      <c r="AA18">
        <v>402.13</v>
      </c>
      <c r="AB18">
        <v>27</v>
      </c>
      <c r="AD18" t="s">
        <v>107</v>
      </c>
    </row>
    <row r="19" spans="1:30" x14ac:dyDescent="0.25">
      <c r="A19">
        <v>3444</v>
      </c>
      <c r="C19" t="s">
        <v>49</v>
      </c>
      <c r="D19" t="s">
        <v>70</v>
      </c>
      <c r="E19" t="s">
        <v>26</v>
      </c>
      <c r="F19" t="s">
        <v>51</v>
      </c>
      <c r="G19" t="s">
        <v>28</v>
      </c>
      <c r="H19" t="s">
        <v>42</v>
      </c>
      <c r="I19" t="s">
        <v>91</v>
      </c>
      <c r="J19" t="s">
        <v>92</v>
      </c>
      <c r="L19" t="s">
        <v>87</v>
      </c>
      <c r="M19" t="s">
        <v>44</v>
      </c>
      <c r="N19" t="s">
        <v>56</v>
      </c>
      <c r="O19" t="s">
        <v>35</v>
      </c>
      <c r="P19" t="s">
        <v>36</v>
      </c>
      <c r="Q19">
        <v>3</v>
      </c>
      <c r="S19">
        <v>1</v>
      </c>
      <c r="T19">
        <v>2</v>
      </c>
      <c r="U19">
        <v>4</v>
      </c>
      <c r="W19" t="s">
        <v>64</v>
      </c>
      <c r="X19" t="s">
        <v>47</v>
      </c>
      <c r="Y19" t="s">
        <v>39</v>
      </c>
      <c r="Z19">
        <v>2</v>
      </c>
      <c r="AA19">
        <v>388.84</v>
      </c>
      <c r="AB19">
        <v>38</v>
      </c>
      <c r="AD19">
        <f>MIN(Table9[[#All],[Age]])</f>
        <v>20</v>
      </c>
    </row>
    <row r="20" spans="1:30" x14ac:dyDescent="0.25">
      <c r="A20">
        <v>3445</v>
      </c>
      <c r="C20" t="s">
        <v>49</v>
      </c>
      <c r="D20" t="s">
        <v>77</v>
      </c>
      <c r="E20" t="s">
        <v>26</v>
      </c>
      <c r="F20" t="s">
        <v>27</v>
      </c>
      <c r="G20" t="s">
        <v>41</v>
      </c>
      <c r="H20" t="s">
        <v>42</v>
      </c>
      <c r="I20" t="s">
        <v>53</v>
      </c>
      <c r="J20" t="s">
        <v>75</v>
      </c>
      <c r="L20" t="s">
        <v>87</v>
      </c>
      <c r="M20" t="s">
        <v>33</v>
      </c>
      <c r="N20" t="s">
        <v>56</v>
      </c>
      <c r="O20" t="s">
        <v>63</v>
      </c>
      <c r="P20" t="s">
        <v>74</v>
      </c>
      <c r="Q20">
        <v>4</v>
      </c>
      <c r="S20">
        <v>4</v>
      </c>
      <c r="T20">
        <v>5</v>
      </c>
      <c r="U20">
        <v>2</v>
      </c>
      <c r="W20" t="s">
        <v>58</v>
      </c>
      <c r="X20" t="s">
        <v>47</v>
      </c>
      <c r="Y20" t="s">
        <v>59</v>
      </c>
      <c r="Z20">
        <v>2</v>
      </c>
      <c r="AA20">
        <v>879.64</v>
      </c>
      <c r="AB20">
        <v>36</v>
      </c>
    </row>
    <row r="21" spans="1:30" x14ac:dyDescent="0.25">
      <c r="A21">
        <v>3446</v>
      </c>
      <c r="C21" t="s">
        <v>49</v>
      </c>
      <c r="D21" t="s">
        <v>50</v>
      </c>
      <c r="E21" t="s">
        <v>26</v>
      </c>
      <c r="F21" t="s">
        <v>27</v>
      </c>
      <c r="G21" t="s">
        <v>28</v>
      </c>
      <c r="H21" t="s">
        <v>51</v>
      </c>
      <c r="I21" t="s">
        <v>53</v>
      </c>
      <c r="J21" t="s">
        <v>92</v>
      </c>
      <c r="L21" t="s">
        <v>79</v>
      </c>
      <c r="M21" t="s">
        <v>33</v>
      </c>
      <c r="N21" t="s">
        <v>34</v>
      </c>
      <c r="O21" t="s">
        <v>73</v>
      </c>
      <c r="P21" t="s">
        <v>74</v>
      </c>
      <c r="Q21">
        <v>2</v>
      </c>
      <c r="S21">
        <v>4</v>
      </c>
      <c r="T21">
        <v>3</v>
      </c>
      <c r="U21">
        <v>5</v>
      </c>
      <c r="W21" t="s">
        <v>64</v>
      </c>
      <c r="X21" t="s">
        <v>38</v>
      </c>
      <c r="Y21" t="s">
        <v>39</v>
      </c>
      <c r="Z21">
        <v>5</v>
      </c>
      <c r="AA21">
        <v>701.13</v>
      </c>
      <c r="AB21">
        <v>25</v>
      </c>
    </row>
    <row r="22" spans="1:30" x14ac:dyDescent="0.25">
      <c r="A22">
        <v>3450</v>
      </c>
      <c r="C22" t="s">
        <v>49</v>
      </c>
      <c r="D22" t="s">
        <v>65</v>
      </c>
      <c r="E22" t="s">
        <v>26</v>
      </c>
      <c r="F22" t="s">
        <v>42</v>
      </c>
      <c r="G22" t="s">
        <v>41</v>
      </c>
      <c r="H22" t="s">
        <v>42</v>
      </c>
      <c r="I22" t="s">
        <v>53</v>
      </c>
      <c r="J22" t="s">
        <v>66</v>
      </c>
      <c r="L22" t="s">
        <v>86</v>
      </c>
      <c r="M22" t="s">
        <v>44</v>
      </c>
      <c r="N22" t="s">
        <v>56</v>
      </c>
      <c r="O22" t="s">
        <v>57</v>
      </c>
      <c r="P22" t="s">
        <v>74</v>
      </c>
      <c r="Q22">
        <v>2</v>
      </c>
      <c r="S22">
        <v>4</v>
      </c>
      <c r="T22">
        <v>3</v>
      </c>
      <c r="U22">
        <v>5</v>
      </c>
      <c r="W22" t="s">
        <v>64</v>
      </c>
      <c r="X22" t="s">
        <v>38</v>
      </c>
      <c r="Y22" t="s">
        <v>59</v>
      </c>
      <c r="Z22">
        <v>4</v>
      </c>
      <c r="AA22">
        <v>186.07</v>
      </c>
      <c r="AB22">
        <v>26</v>
      </c>
    </row>
    <row r="23" spans="1:30" x14ac:dyDescent="0.25">
      <c r="A23">
        <v>3451</v>
      </c>
      <c r="C23" t="s">
        <v>49</v>
      </c>
      <c r="D23" t="s">
        <v>83</v>
      </c>
      <c r="E23" t="s">
        <v>26</v>
      </c>
      <c r="F23" t="s">
        <v>27</v>
      </c>
      <c r="G23" t="s">
        <v>28</v>
      </c>
      <c r="H23" t="s">
        <v>29</v>
      </c>
      <c r="I23" t="s">
        <v>53</v>
      </c>
      <c r="J23" t="s">
        <v>66</v>
      </c>
      <c r="L23" t="s">
        <v>86</v>
      </c>
      <c r="M23" t="s">
        <v>44</v>
      </c>
      <c r="N23" t="s">
        <v>56</v>
      </c>
      <c r="O23" t="s">
        <v>73</v>
      </c>
      <c r="P23" t="s">
        <v>74</v>
      </c>
      <c r="Q23">
        <v>3</v>
      </c>
      <c r="S23">
        <v>5</v>
      </c>
      <c r="T23">
        <v>1</v>
      </c>
      <c r="U23">
        <v>2</v>
      </c>
      <c r="W23" t="s">
        <v>64</v>
      </c>
      <c r="X23" t="s">
        <v>47</v>
      </c>
      <c r="Y23" t="s">
        <v>59</v>
      </c>
      <c r="Z23">
        <v>1</v>
      </c>
      <c r="AA23">
        <v>921.97</v>
      </c>
      <c r="AB23">
        <v>53</v>
      </c>
    </row>
    <row r="24" spans="1:30" x14ac:dyDescent="0.25">
      <c r="A24">
        <v>3452</v>
      </c>
      <c r="C24" t="s">
        <v>49</v>
      </c>
      <c r="D24" t="s">
        <v>60</v>
      </c>
      <c r="E24" t="s">
        <v>26</v>
      </c>
      <c r="F24" t="s">
        <v>27</v>
      </c>
      <c r="G24" t="s">
        <v>28</v>
      </c>
      <c r="H24" t="s">
        <v>51</v>
      </c>
      <c r="I24" t="s">
        <v>53</v>
      </c>
      <c r="J24" t="s">
        <v>61</v>
      </c>
      <c r="L24" t="s">
        <v>82</v>
      </c>
      <c r="M24" t="s">
        <v>44</v>
      </c>
      <c r="N24" t="s">
        <v>68</v>
      </c>
      <c r="O24" t="s">
        <v>73</v>
      </c>
      <c r="P24" t="s">
        <v>36</v>
      </c>
      <c r="Q24">
        <v>2</v>
      </c>
      <c r="S24">
        <v>5</v>
      </c>
      <c r="T24">
        <v>5</v>
      </c>
      <c r="U24">
        <v>2</v>
      </c>
      <c r="W24" t="s">
        <v>46</v>
      </c>
      <c r="X24" t="s">
        <v>38</v>
      </c>
      <c r="Y24" t="s">
        <v>39</v>
      </c>
      <c r="Z24">
        <v>1</v>
      </c>
      <c r="AA24">
        <v>691.04</v>
      </c>
      <c r="AB24">
        <v>75</v>
      </c>
    </row>
    <row r="25" spans="1:30" x14ac:dyDescent="0.25">
      <c r="A25">
        <v>3453</v>
      </c>
      <c r="C25" t="s">
        <v>49</v>
      </c>
      <c r="D25" t="s">
        <v>90</v>
      </c>
      <c r="E25" t="s">
        <v>26</v>
      </c>
      <c r="F25" t="s">
        <v>42</v>
      </c>
      <c r="G25" t="s">
        <v>41</v>
      </c>
      <c r="H25" t="s">
        <v>42</v>
      </c>
      <c r="I25" t="s">
        <v>53</v>
      </c>
      <c r="J25" t="s">
        <v>61</v>
      </c>
      <c r="L25" t="s">
        <v>32</v>
      </c>
      <c r="M25" t="s">
        <v>44</v>
      </c>
      <c r="N25" t="s">
        <v>34</v>
      </c>
      <c r="O25" t="s">
        <v>35</v>
      </c>
      <c r="P25" t="s">
        <v>36</v>
      </c>
      <c r="Q25">
        <v>4</v>
      </c>
      <c r="S25">
        <v>5</v>
      </c>
      <c r="T25">
        <v>5</v>
      </c>
      <c r="U25">
        <v>3</v>
      </c>
      <c r="W25" t="s">
        <v>46</v>
      </c>
      <c r="X25" t="s">
        <v>47</v>
      </c>
      <c r="Y25" t="s">
        <v>59</v>
      </c>
      <c r="Z25">
        <v>5</v>
      </c>
      <c r="AA25">
        <v>964.44</v>
      </c>
      <c r="AB25">
        <v>40</v>
      </c>
    </row>
    <row r="26" spans="1:30" x14ac:dyDescent="0.25">
      <c r="A26">
        <v>3454</v>
      </c>
      <c r="C26" t="s">
        <v>49</v>
      </c>
      <c r="D26" t="s">
        <v>70</v>
      </c>
      <c r="E26" t="s">
        <v>26</v>
      </c>
      <c r="F26" t="s">
        <v>27</v>
      </c>
      <c r="G26" t="s">
        <v>28</v>
      </c>
      <c r="H26" t="s">
        <v>42</v>
      </c>
      <c r="I26" t="s">
        <v>53</v>
      </c>
      <c r="J26" t="s">
        <v>93</v>
      </c>
      <c r="L26" t="s">
        <v>87</v>
      </c>
      <c r="M26" t="s">
        <v>44</v>
      </c>
      <c r="N26" t="s">
        <v>45</v>
      </c>
      <c r="O26" t="s">
        <v>63</v>
      </c>
      <c r="P26" t="s">
        <v>94</v>
      </c>
      <c r="Q26">
        <v>4</v>
      </c>
      <c r="S26">
        <v>4</v>
      </c>
      <c r="T26">
        <v>4</v>
      </c>
      <c r="U26">
        <v>2</v>
      </c>
      <c r="W26" t="s">
        <v>88</v>
      </c>
      <c r="X26" t="s">
        <v>38</v>
      </c>
      <c r="Y26" t="s">
        <v>69</v>
      </c>
      <c r="Z26">
        <v>3</v>
      </c>
      <c r="AA26">
        <v>184.9</v>
      </c>
      <c r="AB26">
        <v>52</v>
      </c>
    </row>
    <row r="27" spans="1:30" x14ac:dyDescent="0.25">
      <c r="A27">
        <v>3455</v>
      </c>
      <c r="C27" t="s">
        <v>49</v>
      </c>
      <c r="D27" t="s">
        <v>90</v>
      </c>
      <c r="E27" t="s">
        <v>26</v>
      </c>
      <c r="F27" t="s">
        <v>51</v>
      </c>
      <c r="G27" t="s">
        <v>28</v>
      </c>
      <c r="H27" t="s">
        <v>51</v>
      </c>
      <c r="I27" t="s">
        <v>91</v>
      </c>
      <c r="J27" t="s">
        <v>61</v>
      </c>
      <c r="L27" t="s">
        <v>87</v>
      </c>
      <c r="M27" t="s">
        <v>44</v>
      </c>
      <c r="N27" t="s">
        <v>56</v>
      </c>
      <c r="O27" t="s">
        <v>35</v>
      </c>
      <c r="P27" t="s">
        <v>74</v>
      </c>
      <c r="Q27">
        <v>4</v>
      </c>
      <c r="S27">
        <v>2</v>
      </c>
      <c r="T27">
        <v>1</v>
      </c>
      <c r="U27">
        <v>1</v>
      </c>
      <c r="W27" t="s">
        <v>58</v>
      </c>
      <c r="X27" t="s">
        <v>47</v>
      </c>
      <c r="Y27" t="s">
        <v>69</v>
      </c>
      <c r="Z27">
        <v>1</v>
      </c>
      <c r="AA27">
        <v>220.41</v>
      </c>
      <c r="AB27">
        <v>22</v>
      </c>
    </row>
    <row r="28" spans="1:30" x14ac:dyDescent="0.25">
      <c r="A28">
        <v>3456</v>
      </c>
      <c r="C28" t="s">
        <v>49</v>
      </c>
      <c r="D28" t="s">
        <v>70</v>
      </c>
      <c r="E28" t="s">
        <v>26</v>
      </c>
      <c r="F28" t="s">
        <v>51</v>
      </c>
      <c r="G28" t="s">
        <v>28</v>
      </c>
      <c r="H28" t="s">
        <v>29</v>
      </c>
      <c r="I28" t="s">
        <v>53</v>
      </c>
      <c r="J28" t="s">
        <v>95</v>
      </c>
      <c r="L28" t="s">
        <v>87</v>
      </c>
      <c r="M28" t="s">
        <v>33</v>
      </c>
      <c r="N28" t="s">
        <v>68</v>
      </c>
      <c r="O28" t="s">
        <v>73</v>
      </c>
      <c r="P28" t="s">
        <v>36</v>
      </c>
      <c r="Q28">
        <v>3</v>
      </c>
      <c r="S28">
        <v>4</v>
      </c>
      <c r="T28">
        <v>3</v>
      </c>
      <c r="U28">
        <v>4</v>
      </c>
      <c r="W28" t="s">
        <v>64</v>
      </c>
      <c r="X28" t="s">
        <v>47</v>
      </c>
      <c r="Y28" t="s">
        <v>69</v>
      </c>
      <c r="Z28">
        <v>2</v>
      </c>
      <c r="AA28">
        <v>336.82</v>
      </c>
      <c r="AB28">
        <v>77</v>
      </c>
    </row>
    <row r="29" spans="1:30" x14ac:dyDescent="0.25">
      <c r="A29">
        <v>3457</v>
      </c>
      <c r="C29" t="s">
        <v>49</v>
      </c>
      <c r="D29" t="s">
        <v>77</v>
      </c>
      <c r="E29" t="s">
        <v>26</v>
      </c>
      <c r="F29" t="s">
        <v>51</v>
      </c>
      <c r="G29" t="s">
        <v>41</v>
      </c>
      <c r="H29" t="s">
        <v>29</v>
      </c>
      <c r="I29" t="s">
        <v>53</v>
      </c>
      <c r="J29" t="s">
        <v>66</v>
      </c>
      <c r="L29" t="s">
        <v>87</v>
      </c>
      <c r="M29" t="s">
        <v>33</v>
      </c>
      <c r="N29" t="s">
        <v>34</v>
      </c>
      <c r="O29" t="s">
        <v>73</v>
      </c>
      <c r="P29" t="s">
        <v>94</v>
      </c>
      <c r="Q29">
        <v>3</v>
      </c>
      <c r="S29">
        <v>5</v>
      </c>
      <c r="T29">
        <v>1</v>
      </c>
      <c r="U29">
        <v>4</v>
      </c>
      <c r="W29" t="s">
        <v>46</v>
      </c>
      <c r="X29" t="s">
        <v>47</v>
      </c>
      <c r="Y29" t="s">
        <v>59</v>
      </c>
      <c r="Z29">
        <v>4</v>
      </c>
      <c r="AA29">
        <v>485.73</v>
      </c>
      <c r="AB29">
        <v>73</v>
      </c>
    </row>
    <row r="30" spans="1:30" x14ac:dyDescent="0.25">
      <c r="A30">
        <v>3460</v>
      </c>
      <c r="C30" t="s">
        <v>49</v>
      </c>
      <c r="D30" t="s">
        <v>50</v>
      </c>
      <c r="E30" t="s">
        <v>26</v>
      </c>
      <c r="F30" t="s">
        <v>51</v>
      </c>
      <c r="G30" t="s">
        <v>52</v>
      </c>
      <c r="H30" t="s">
        <v>29</v>
      </c>
      <c r="I30" t="s">
        <v>53</v>
      </c>
      <c r="J30" t="s">
        <v>75</v>
      </c>
      <c r="L30" t="s">
        <v>79</v>
      </c>
      <c r="M30" t="s">
        <v>44</v>
      </c>
      <c r="N30" t="s">
        <v>80</v>
      </c>
      <c r="O30" t="s">
        <v>63</v>
      </c>
      <c r="P30" t="s">
        <v>36</v>
      </c>
      <c r="Q30">
        <v>3</v>
      </c>
      <c r="S30">
        <v>4</v>
      </c>
      <c r="T30">
        <v>3</v>
      </c>
      <c r="U30">
        <v>3</v>
      </c>
      <c r="W30" t="s">
        <v>88</v>
      </c>
      <c r="X30" t="s">
        <v>47</v>
      </c>
      <c r="Y30" t="s">
        <v>48</v>
      </c>
      <c r="Z30">
        <v>5</v>
      </c>
      <c r="AA30">
        <v>919.52</v>
      </c>
      <c r="AB30">
        <v>76</v>
      </c>
    </row>
    <row r="31" spans="1:30" x14ac:dyDescent="0.25">
      <c r="A31">
        <v>3462</v>
      </c>
      <c r="C31" t="s">
        <v>49</v>
      </c>
      <c r="D31" t="s">
        <v>81</v>
      </c>
      <c r="E31" t="s">
        <v>26</v>
      </c>
      <c r="F31" t="s">
        <v>51</v>
      </c>
      <c r="G31" t="s">
        <v>41</v>
      </c>
      <c r="H31" t="s">
        <v>51</v>
      </c>
      <c r="I31" t="s">
        <v>53</v>
      </c>
      <c r="J31" t="s">
        <v>43</v>
      </c>
      <c r="L31" t="s">
        <v>86</v>
      </c>
      <c r="M31" t="s">
        <v>44</v>
      </c>
      <c r="N31" t="s">
        <v>45</v>
      </c>
      <c r="O31" t="s">
        <v>73</v>
      </c>
      <c r="P31" t="s">
        <v>94</v>
      </c>
      <c r="Q31">
        <v>3</v>
      </c>
      <c r="S31">
        <v>3</v>
      </c>
      <c r="T31">
        <v>3</v>
      </c>
      <c r="U31">
        <v>1</v>
      </c>
      <c r="W31" t="s">
        <v>58</v>
      </c>
      <c r="X31" t="s">
        <v>47</v>
      </c>
      <c r="Y31" t="s">
        <v>59</v>
      </c>
      <c r="Z31">
        <v>1</v>
      </c>
      <c r="AA31">
        <v>320.01</v>
      </c>
      <c r="AB31">
        <v>76</v>
      </c>
    </row>
    <row r="32" spans="1:30" x14ac:dyDescent="0.25">
      <c r="A32">
        <v>3463</v>
      </c>
      <c r="C32" t="s">
        <v>49</v>
      </c>
      <c r="D32" t="s">
        <v>83</v>
      </c>
      <c r="E32" t="s">
        <v>26</v>
      </c>
      <c r="F32" t="s">
        <v>27</v>
      </c>
      <c r="G32" t="s">
        <v>41</v>
      </c>
      <c r="H32" t="s">
        <v>51</v>
      </c>
      <c r="I32" t="s">
        <v>53</v>
      </c>
      <c r="J32" t="s">
        <v>66</v>
      </c>
      <c r="L32" t="s">
        <v>82</v>
      </c>
      <c r="M32" t="s">
        <v>44</v>
      </c>
      <c r="N32" t="s">
        <v>45</v>
      </c>
      <c r="O32" t="s">
        <v>57</v>
      </c>
      <c r="P32" t="s">
        <v>36</v>
      </c>
      <c r="Q32">
        <v>1</v>
      </c>
      <c r="S32">
        <v>4</v>
      </c>
      <c r="T32">
        <v>3</v>
      </c>
      <c r="U32">
        <v>4</v>
      </c>
      <c r="W32" t="s">
        <v>64</v>
      </c>
      <c r="X32" t="s">
        <v>38</v>
      </c>
      <c r="Y32" t="s">
        <v>48</v>
      </c>
      <c r="Z32">
        <v>4</v>
      </c>
      <c r="AA32">
        <v>926.19</v>
      </c>
      <c r="AB32">
        <v>69</v>
      </c>
    </row>
    <row r="33" spans="1:28" x14ac:dyDescent="0.25">
      <c r="A33">
        <v>3464</v>
      </c>
      <c r="C33" t="s">
        <v>49</v>
      </c>
      <c r="D33" t="s">
        <v>60</v>
      </c>
      <c r="E33" t="s">
        <v>26</v>
      </c>
      <c r="F33" t="s">
        <v>42</v>
      </c>
      <c r="G33" t="s">
        <v>41</v>
      </c>
      <c r="H33" t="s">
        <v>29</v>
      </c>
      <c r="I33" t="s">
        <v>53</v>
      </c>
      <c r="J33" t="s">
        <v>66</v>
      </c>
      <c r="L33" t="s">
        <v>32</v>
      </c>
      <c r="M33" t="s">
        <v>44</v>
      </c>
      <c r="N33" t="s">
        <v>68</v>
      </c>
      <c r="O33" t="s">
        <v>35</v>
      </c>
      <c r="P33" t="s">
        <v>94</v>
      </c>
      <c r="Q33">
        <v>5</v>
      </c>
      <c r="S33">
        <v>2</v>
      </c>
      <c r="T33">
        <v>5</v>
      </c>
      <c r="U33">
        <v>3</v>
      </c>
      <c r="W33" t="s">
        <v>46</v>
      </c>
      <c r="X33" t="s">
        <v>47</v>
      </c>
      <c r="Y33" t="s">
        <v>69</v>
      </c>
      <c r="Z33">
        <v>2</v>
      </c>
      <c r="AA33">
        <v>290.47000000000003</v>
      </c>
      <c r="AB33">
        <v>20</v>
      </c>
    </row>
    <row r="34" spans="1:28" x14ac:dyDescent="0.25">
      <c r="A34">
        <v>3465</v>
      </c>
      <c r="C34" t="s">
        <v>49</v>
      </c>
      <c r="D34" t="s">
        <v>90</v>
      </c>
      <c r="E34" t="s">
        <v>26</v>
      </c>
      <c r="F34" t="s">
        <v>27</v>
      </c>
      <c r="G34" t="s">
        <v>52</v>
      </c>
      <c r="H34" t="s">
        <v>51</v>
      </c>
      <c r="I34" t="s">
        <v>53</v>
      </c>
      <c r="J34" t="s">
        <v>96</v>
      </c>
      <c r="L34" t="s">
        <v>32</v>
      </c>
      <c r="M34" t="s">
        <v>44</v>
      </c>
      <c r="N34" t="s">
        <v>80</v>
      </c>
      <c r="O34" t="s">
        <v>73</v>
      </c>
      <c r="P34" t="s">
        <v>94</v>
      </c>
      <c r="Q34">
        <v>3</v>
      </c>
      <c r="S34">
        <v>5</v>
      </c>
      <c r="T34">
        <v>4</v>
      </c>
      <c r="U34">
        <v>3</v>
      </c>
      <c r="W34" t="s">
        <v>88</v>
      </c>
      <c r="X34" t="s">
        <v>47</v>
      </c>
      <c r="Y34" t="s">
        <v>48</v>
      </c>
      <c r="Z34">
        <v>1</v>
      </c>
      <c r="AA34">
        <v>706.1</v>
      </c>
      <c r="AB34">
        <v>59</v>
      </c>
    </row>
    <row r="35" spans="1:28" x14ac:dyDescent="0.25">
      <c r="A35">
        <v>3466</v>
      </c>
      <c r="C35" t="s">
        <v>49</v>
      </c>
      <c r="D35" t="s">
        <v>70</v>
      </c>
      <c r="E35" t="s">
        <v>26</v>
      </c>
      <c r="F35" t="s">
        <v>51</v>
      </c>
      <c r="G35" t="s">
        <v>52</v>
      </c>
      <c r="H35" t="s">
        <v>51</v>
      </c>
      <c r="I35" t="s">
        <v>53</v>
      </c>
      <c r="J35" t="s">
        <v>61</v>
      </c>
      <c r="L35" t="s">
        <v>87</v>
      </c>
      <c r="M35" t="s">
        <v>44</v>
      </c>
      <c r="N35" t="s">
        <v>56</v>
      </c>
      <c r="O35" t="s">
        <v>63</v>
      </c>
      <c r="P35" t="s">
        <v>74</v>
      </c>
      <c r="Q35">
        <v>4</v>
      </c>
      <c r="S35">
        <v>1</v>
      </c>
      <c r="T35">
        <v>3</v>
      </c>
      <c r="U35">
        <v>4</v>
      </c>
      <c r="W35" t="s">
        <v>46</v>
      </c>
      <c r="X35" t="s">
        <v>47</v>
      </c>
      <c r="Y35" t="s">
        <v>69</v>
      </c>
      <c r="Z35">
        <v>3</v>
      </c>
      <c r="AA35">
        <v>447.66</v>
      </c>
      <c r="AB35">
        <v>43</v>
      </c>
    </row>
    <row r="36" spans="1:28" x14ac:dyDescent="0.25">
      <c r="A36">
        <v>3467</v>
      </c>
      <c r="C36" t="s">
        <v>49</v>
      </c>
      <c r="D36" t="s">
        <v>90</v>
      </c>
      <c r="E36" t="s">
        <v>26</v>
      </c>
      <c r="F36" t="s">
        <v>42</v>
      </c>
      <c r="G36" t="s">
        <v>28</v>
      </c>
      <c r="H36" t="s">
        <v>51</v>
      </c>
      <c r="I36" t="s">
        <v>91</v>
      </c>
      <c r="J36" t="s">
        <v>43</v>
      </c>
      <c r="L36" t="s">
        <v>87</v>
      </c>
      <c r="M36" t="s">
        <v>33</v>
      </c>
      <c r="N36" t="s">
        <v>80</v>
      </c>
      <c r="O36" t="s">
        <v>73</v>
      </c>
      <c r="P36" t="s">
        <v>74</v>
      </c>
      <c r="Q36">
        <v>1</v>
      </c>
      <c r="S36">
        <v>4</v>
      </c>
      <c r="T36">
        <v>3</v>
      </c>
      <c r="U36">
        <v>2</v>
      </c>
      <c r="W36" t="s">
        <v>64</v>
      </c>
      <c r="X36" t="s">
        <v>38</v>
      </c>
      <c r="Y36" t="s">
        <v>48</v>
      </c>
      <c r="Z36">
        <v>1</v>
      </c>
      <c r="AA36">
        <v>759.7</v>
      </c>
      <c r="AB36">
        <v>33</v>
      </c>
    </row>
    <row r="37" spans="1:28" x14ac:dyDescent="0.25">
      <c r="A37">
        <v>3468</v>
      </c>
      <c r="C37" t="s">
        <v>49</v>
      </c>
      <c r="D37" t="s">
        <v>70</v>
      </c>
      <c r="E37" t="s">
        <v>26</v>
      </c>
      <c r="F37" t="s">
        <v>27</v>
      </c>
      <c r="G37" t="s">
        <v>41</v>
      </c>
      <c r="H37" t="s">
        <v>42</v>
      </c>
      <c r="I37" t="s">
        <v>53</v>
      </c>
      <c r="J37" t="s">
        <v>93</v>
      </c>
      <c r="L37" t="s">
        <v>87</v>
      </c>
      <c r="M37" t="s">
        <v>33</v>
      </c>
      <c r="N37" t="s">
        <v>68</v>
      </c>
      <c r="O37" t="s">
        <v>57</v>
      </c>
      <c r="P37" t="s">
        <v>36</v>
      </c>
      <c r="Q37">
        <v>4</v>
      </c>
      <c r="S37">
        <v>3</v>
      </c>
      <c r="T37">
        <v>1</v>
      </c>
      <c r="U37">
        <v>3</v>
      </c>
      <c r="W37" t="s">
        <v>46</v>
      </c>
      <c r="X37" t="s">
        <v>38</v>
      </c>
      <c r="Y37" t="s">
        <v>59</v>
      </c>
      <c r="Z37">
        <v>3</v>
      </c>
      <c r="AA37">
        <v>180.63</v>
      </c>
      <c r="AB37">
        <v>21</v>
      </c>
    </row>
    <row r="38" spans="1:28" x14ac:dyDescent="0.25">
      <c r="A38">
        <v>3471</v>
      </c>
      <c r="C38" t="s">
        <v>49</v>
      </c>
      <c r="D38" t="s">
        <v>77</v>
      </c>
      <c r="E38" t="s">
        <v>26</v>
      </c>
      <c r="F38" t="s">
        <v>27</v>
      </c>
      <c r="G38" t="s">
        <v>52</v>
      </c>
      <c r="H38" t="s">
        <v>29</v>
      </c>
      <c r="I38" t="s">
        <v>53</v>
      </c>
      <c r="J38" t="s">
        <v>97</v>
      </c>
      <c r="L38" t="s">
        <v>79</v>
      </c>
      <c r="M38" t="s">
        <v>44</v>
      </c>
      <c r="N38" t="s">
        <v>80</v>
      </c>
      <c r="O38" t="s">
        <v>63</v>
      </c>
      <c r="P38" t="s">
        <v>36</v>
      </c>
      <c r="Q38">
        <v>4</v>
      </c>
      <c r="S38">
        <v>2</v>
      </c>
      <c r="T38">
        <v>4</v>
      </c>
      <c r="U38">
        <v>1</v>
      </c>
      <c r="W38" t="s">
        <v>46</v>
      </c>
      <c r="X38" t="s">
        <v>47</v>
      </c>
      <c r="Y38" t="s">
        <v>69</v>
      </c>
      <c r="Z38">
        <v>3</v>
      </c>
      <c r="AA38">
        <v>109.98</v>
      </c>
      <c r="AB38">
        <v>53</v>
      </c>
    </row>
    <row r="39" spans="1:28" x14ac:dyDescent="0.25">
      <c r="A39">
        <v>3472</v>
      </c>
      <c r="C39" t="s">
        <v>49</v>
      </c>
      <c r="D39" t="s">
        <v>25</v>
      </c>
      <c r="E39" t="s">
        <v>26</v>
      </c>
      <c r="F39" t="s">
        <v>42</v>
      </c>
      <c r="G39" t="s">
        <v>28</v>
      </c>
      <c r="H39" t="s">
        <v>29</v>
      </c>
      <c r="I39" t="s">
        <v>53</v>
      </c>
      <c r="J39" t="s">
        <v>66</v>
      </c>
      <c r="L39" t="s">
        <v>79</v>
      </c>
      <c r="M39" t="s">
        <v>44</v>
      </c>
      <c r="N39" t="s">
        <v>56</v>
      </c>
      <c r="O39" t="s">
        <v>63</v>
      </c>
      <c r="P39" t="s">
        <v>74</v>
      </c>
      <c r="Q39">
        <v>4</v>
      </c>
      <c r="S39">
        <v>5</v>
      </c>
      <c r="T39">
        <v>5</v>
      </c>
      <c r="U39">
        <v>4</v>
      </c>
      <c r="W39" t="s">
        <v>64</v>
      </c>
      <c r="X39" t="s">
        <v>47</v>
      </c>
      <c r="Y39" t="s">
        <v>59</v>
      </c>
      <c r="Z39">
        <v>5</v>
      </c>
      <c r="AA39">
        <v>537.24</v>
      </c>
      <c r="AB39">
        <v>41</v>
      </c>
    </row>
    <row r="40" spans="1:28" x14ac:dyDescent="0.25">
      <c r="A40">
        <v>3473</v>
      </c>
      <c r="C40" t="s">
        <v>49</v>
      </c>
      <c r="D40" t="s">
        <v>81</v>
      </c>
      <c r="E40" t="s">
        <v>26</v>
      </c>
      <c r="F40" t="s">
        <v>27</v>
      </c>
      <c r="G40" t="s">
        <v>28</v>
      </c>
      <c r="H40" t="s">
        <v>51</v>
      </c>
      <c r="I40" t="s">
        <v>53</v>
      </c>
      <c r="J40" t="s">
        <v>92</v>
      </c>
      <c r="L40" t="s">
        <v>86</v>
      </c>
      <c r="M40" t="s">
        <v>44</v>
      </c>
      <c r="N40" t="s">
        <v>45</v>
      </c>
      <c r="O40" t="s">
        <v>35</v>
      </c>
      <c r="P40" t="s">
        <v>74</v>
      </c>
      <c r="Q40">
        <v>2</v>
      </c>
      <c r="S40">
        <v>3</v>
      </c>
      <c r="T40">
        <v>4</v>
      </c>
      <c r="U40">
        <v>4</v>
      </c>
      <c r="W40" t="s">
        <v>88</v>
      </c>
      <c r="X40" t="s">
        <v>47</v>
      </c>
      <c r="Y40" t="s">
        <v>39</v>
      </c>
      <c r="Z40">
        <v>5</v>
      </c>
      <c r="AA40">
        <v>789.99</v>
      </c>
      <c r="AB40">
        <v>73</v>
      </c>
    </row>
    <row r="41" spans="1:28" x14ac:dyDescent="0.25">
      <c r="A41">
        <v>3474</v>
      </c>
      <c r="C41" t="s">
        <v>49</v>
      </c>
      <c r="D41" t="s">
        <v>40</v>
      </c>
      <c r="E41" t="s">
        <v>26</v>
      </c>
      <c r="F41" t="s">
        <v>42</v>
      </c>
      <c r="G41" t="s">
        <v>41</v>
      </c>
      <c r="H41" t="s">
        <v>29</v>
      </c>
      <c r="I41" t="s">
        <v>53</v>
      </c>
      <c r="J41" t="s">
        <v>96</v>
      </c>
      <c r="L41" t="s">
        <v>86</v>
      </c>
      <c r="M41" t="s">
        <v>44</v>
      </c>
      <c r="N41" t="s">
        <v>56</v>
      </c>
      <c r="O41" t="s">
        <v>73</v>
      </c>
      <c r="P41" t="s">
        <v>36</v>
      </c>
      <c r="Q41">
        <v>2</v>
      </c>
      <c r="S41">
        <v>3</v>
      </c>
      <c r="T41">
        <v>1</v>
      </c>
      <c r="U41">
        <v>2</v>
      </c>
      <c r="W41" t="s">
        <v>46</v>
      </c>
      <c r="X41" t="s">
        <v>47</v>
      </c>
      <c r="Y41" t="s">
        <v>48</v>
      </c>
      <c r="Z41">
        <v>5</v>
      </c>
      <c r="AA41">
        <v>155.51</v>
      </c>
      <c r="AB41">
        <v>55</v>
      </c>
    </row>
    <row r="42" spans="1:28" x14ac:dyDescent="0.25">
      <c r="A42">
        <v>3475</v>
      </c>
      <c r="C42" t="s">
        <v>49</v>
      </c>
      <c r="D42" t="s">
        <v>83</v>
      </c>
      <c r="E42" t="s">
        <v>26</v>
      </c>
      <c r="F42" t="s">
        <v>51</v>
      </c>
      <c r="G42" t="s">
        <v>41</v>
      </c>
      <c r="H42" t="s">
        <v>29</v>
      </c>
      <c r="I42" t="s">
        <v>53</v>
      </c>
      <c r="J42" t="s">
        <v>98</v>
      </c>
      <c r="L42" t="s">
        <v>82</v>
      </c>
      <c r="M42" t="s">
        <v>44</v>
      </c>
      <c r="N42" t="s">
        <v>80</v>
      </c>
      <c r="O42" t="s">
        <v>35</v>
      </c>
      <c r="P42" t="s">
        <v>36</v>
      </c>
      <c r="Q42">
        <v>2</v>
      </c>
      <c r="S42">
        <v>4</v>
      </c>
      <c r="T42">
        <v>3</v>
      </c>
      <c r="U42">
        <v>4</v>
      </c>
      <c r="W42" t="s">
        <v>46</v>
      </c>
      <c r="X42" t="s">
        <v>38</v>
      </c>
      <c r="Y42" t="s">
        <v>69</v>
      </c>
      <c r="Z42">
        <v>2</v>
      </c>
      <c r="AA42">
        <v>648.76</v>
      </c>
      <c r="AB42">
        <v>64</v>
      </c>
    </row>
    <row r="43" spans="1:28" x14ac:dyDescent="0.25">
      <c r="A43">
        <v>3476</v>
      </c>
      <c r="C43" t="s">
        <v>49</v>
      </c>
      <c r="D43" t="s">
        <v>60</v>
      </c>
      <c r="E43" t="s">
        <v>26</v>
      </c>
      <c r="F43" t="s">
        <v>51</v>
      </c>
      <c r="G43" t="s">
        <v>28</v>
      </c>
      <c r="H43" t="s">
        <v>29</v>
      </c>
      <c r="I43" t="s">
        <v>53</v>
      </c>
      <c r="J43" t="s">
        <v>61</v>
      </c>
      <c r="L43" t="s">
        <v>32</v>
      </c>
      <c r="M43" t="s">
        <v>44</v>
      </c>
      <c r="N43" t="s">
        <v>80</v>
      </c>
      <c r="O43" t="s">
        <v>73</v>
      </c>
      <c r="P43" t="s">
        <v>94</v>
      </c>
      <c r="Q43">
        <v>2</v>
      </c>
      <c r="S43">
        <v>5</v>
      </c>
      <c r="T43">
        <v>5</v>
      </c>
      <c r="U43">
        <v>3</v>
      </c>
      <c r="W43" t="s">
        <v>37</v>
      </c>
      <c r="X43" t="s">
        <v>38</v>
      </c>
      <c r="Y43" t="s">
        <v>48</v>
      </c>
      <c r="Z43">
        <v>4</v>
      </c>
      <c r="AA43">
        <v>533.5</v>
      </c>
      <c r="AB43">
        <v>78</v>
      </c>
    </row>
    <row r="44" spans="1:28" x14ac:dyDescent="0.25">
      <c r="A44">
        <v>3477</v>
      </c>
      <c r="C44" t="s">
        <v>49</v>
      </c>
      <c r="D44" t="s">
        <v>90</v>
      </c>
      <c r="E44" t="s">
        <v>26</v>
      </c>
      <c r="F44" t="s">
        <v>42</v>
      </c>
      <c r="G44" t="s">
        <v>41</v>
      </c>
      <c r="H44" t="s">
        <v>29</v>
      </c>
      <c r="I44" t="s">
        <v>53</v>
      </c>
      <c r="J44" t="s">
        <v>93</v>
      </c>
      <c r="L44" t="s">
        <v>87</v>
      </c>
      <c r="M44" t="s">
        <v>33</v>
      </c>
      <c r="N44" t="s">
        <v>80</v>
      </c>
      <c r="O44" t="s">
        <v>35</v>
      </c>
      <c r="P44" t="s">
        <v>94</v>
      </c>
      <c r="Q44">
        <v>2</v>
      </c>
      <c r="S44">
        <v>1</v>
      </c>
      <c r="T44">
        <v>2</v>
      </c>
      <c r="U44">
        <v>1</v>
      </c>
      <c r="W44" t="s">
        <v>37</v>
      </c>
      <c r="X44" t="s">
        <v>47</v>
      </c>
      <c r="Y44" t="s">
        <v>39</v>
      </c>
      <c r="Z44">
        <v>5</v>
      </c>
      <c r="AA44">
        <v>429.48</v>
      </c>
      <c r="AB44">
        <v>50</v>
      </c>
    </row>
    <row r="45" spans="1:28" x14ac:dyDescent="0.25">
      <c r="A45">
        <v>3478</v>
      </c>
      <c r="C45" t="s">
        <v>49</v>
      </c>
      <c r="D45" t="s">
        <v>90</v>
      </c>
      <c r="E45" t="s">
        <v>26</v>
      </c>
      <c r="F45" t="s">
        <v>42</v>
      </c>
      <c r="G45" t="s">
        <v>41</v>
      </c>
      <c r="H45" t="s">
        <v>51</v>
      </c>
      <c r="I45" t="s">
        <v>91</v>
      </c>
      <c r="J45" t="s">
        <v>43</v>
      </c>
      <c r="L45" t="s">
        <v>87</v>
      </c>
      <c r="M45" t="s">
        <v>33</v>
      </c>
      <c r="N45" t="s">
        <v>45</v>
      </c>
      <c r="O45" t="s">
        <v>63</v>
      </c>
      <c r="P45" t="s">
        <v>36</v>
      </c>
      <c r="Q45">
        <v>2</v>
      </c>
      <c r="S45">
        <v>3</v>
      </c>
      <c r="T45">
        <v>4</v>
      </c>
      <c r="U45">
        <v>1</v>
      </c>
      <c r="W45" t="s">
        <v>64</v>
      </c>
      <c r="X45" t="s">
        <v>47</v>
      </c>
      <c r="Y45" t="s">
        <v>48</v>
      </c>
      <c r="Z45">
        <v>1</v>
      </c>
      <c r="AA45">
        <v>526.74</v>
      </c>
      <c r="AB45">
        <v>61</v>
      </c>
    </row>
    <row r="46" spans="1:28" x14ac:dyDescent="0.25">
      <c r="A46">
        <v>3479</v>
      </c>
      <c r="C46" t="s">
        <v>49</v>
      </c>
      <c r="D46" t="s">
        <v>70</v>
      </c>
      <c r="E46" t="s">
        <v>26</v>
      </c>
      <c r="F46" t="s">
        <v>51</v>
      </c>
      <c r="G46" t="s">
        <v>28</v>
      </c>
      <c r="H46" t="s">
        <v>29</v>
      </c>
      <c r="I46" t="s">
        <v>53</v>
      </c>
      <c r="J46" t="s">
        <v>97</v>
      </c>
      <c r="L46" t="s">
        <v>79</v>
      </c>
      <c r="M46" t="s">
        <v>33</v>
      </c>
      <c r="N46" t="s">
        <v>45</v>
      </c>
      <c r="O46" t="s">
        <v>35</v>
      </c>
      <c r="P46" t="s">
        <v>36</v>
      </c>
      <c r="Q46">
        <v>2</v>
      </c>
      <c r="S46">
        <v>4</v>
      </c>
      <c r="T46">
        <v>4</v>
      </c>
      <c r="U46">
        <v>4</v>
      </c>
      <c r="W46" t="s">
        <v>88</v>
      </c>
      <c r="X46" t="s">
        <v>38</v>
      </c>
      <c r="Y46" t="s">
        <v>69</v>
      </c>
      <c r="Z46">
        <v>3</v>
      </c>
      <c r="AA46">
        <v>443.45</v>
      </c>
      <c r="AB46">
        <v>60</v>
      </c>
    </row>
    <row r="47" spans="1:28" x14ac:dyDescent="0.25">
      <c r="A47">
        <v>3483</v>
      </c>
      <c r="C47" t="s">
        <v>49</v>
      </c>
      <c r="D47" t="s">
        <v>77</v>
      </c>
      <c r="E47" t="s">
        <v>26</v>
      </c>
      <c r="F47" t="s">
        <v>27</v>
      </c>
      <c r="G47" t="s">
        <v>41</v>
      </c>
      <c r="H47" t="s">
        <v>42</v>
      </c>
      <c r="I47" t="s">
        <v>53</v>
      </c>
      <c r="J47" t="s">
        <v>92</v>
      </c>
      <c r="L47" t="s">
        <v>86</v>
      </c>
      <c r="M47" t="s">
        <v>44</v>
      </c>
      <c r="N47" t="s">
        <v>80</v>
      </c>
      <c r="O47" t="s">
        <v>35</v>
      </c>
      <c r="P47" t="s">
        <v>36</v>
      </c>
      <c r="Q47">
        <v>1</v>
      </c>
      <c r="S47">
        <v>1</v>
      </c>
      <c r="T47">
        <v>4</v>
      </c>
      <c r="U47">
        <v>5</v>
      </c>
      <c r="W47" t="s">
        <v>58</v>
      </c>
      <c r="X47" t="s">
        <v>47</v>
      </c>
      <c r="Y47" t="s">
        <v>69</v>
      </c>
      <c r="Z47">
        <v>4</v>
      </c>
      <c r="AA47">
        <v>111.96</v>
      </c>
      <c r="AB47">
        <v>57</v>
      </c>
    </row>
    <row r="48" spans="1:28" x14ac:dyDescent="0.25">
      <c r="A48">
        <v>3484</v>
      </c>
      <c r="C48" t="s">
        <v>49</v>
      </c>
      <c r="D48" t="s">
        <v>81</v>
      </c>
      <c r="E48" t="s">
        <v>26</v>
      </c>
      <c r="F48" t="s">
        <v>42</v>
      </c>
      <c r="G48" t="s">
        <v>52</v>
      </c>
      <c r="H48" t="s">
        <v>29</v>
      </c>
      <c r="I48" t="s">
        <v>53</v>
      </c>
      <c r="J48" t="s">
        <v>92</v>
      </c>
      <c r="L48" t="s">
        <v>86</v>
      </c>
      <c r="M48" t="s">
        <v>44</v>
      </c>
      <c r="N48" t="s">
        <v>56</v>
      </c>
      <c r="O48" t="s">
        <v>57</v>
      </c>
      <c r="P48" t="s">
        <v>36</v>
      </c>
      <c r="Q48">
        <v>4</v>
      </c>
      <c r="S48">
        <v>1</v>
      </c>
      <c r="T48">
        <v>2</v>
      </c>
      <c r="U48">
        <v>4</v>
      </c>
      <c r="W48" t="s">
        <v>58</v>
      </c>
      <c r="X48" t="s">
        <v>47</v>
      </c>
      <c r="Y48" t="s">
        <v>69</v>
      </c>
      <c r="Z48">
        <v>1</v>
      </c>
      <c r="AA48">
        <v>795.7</v>
      </c>
      <c r="AB48">
        <v>23</v>
      </c>
    </row>
    <row r="49" spans="1:28" x14ac:dyDescent="0.25">
      <c r="A49">
        <v>3485</v>
      </c>
      <c r="C49" t="s">
        <v>49</v>
      </c>
      <c r="D49" t="s">
        <v>40</v>
      </c>
      <c r="E49" t="s">
        <v>26</v>
      </c>
      <c r="F49" t="s">
        <v>42</v>
      </c>
      <c r="G49" t="s">
        <v>52</v>
      </c>
      <c r="H49" t="s">
        <v>51</v>
      </c>
      <c r="I49" t="s">
        <v>53</v>
      </c>
      <c r="J49" t="s">
        <v>61</v>
      </c>
      <c r="L49" t="s">
        <v>86</v>
      </c>
      <c r="M49" t="s">
        <v>44</v>
      </c>
      <c r="N49" t="s">
        <v>34</v>
      </c>
      <c r="O49" t="s">
        <v>35</v>
      </c>
      <c r="P49" t="s">
        <v>36</v>
      </c>
      <c r="Q49">
        <v>5</v>
      </c>
      <c r="S49">
        <v>2</v>
      </c>
      <c r="T49">
        <v>1</v>
      </c>
      <c r="U49">
        <v>3</v>
      </c>
      <c r="W49" t="s">
        <v>46</v>
      </c>
      <c r="X49" t="s">
        <v>38</v>
      </c>
      <c r="Y49" t="s">
        <v>69</v>
      </c>
      <c r="Z49">
        <v>2</v>
      </c>
      <c r="AA49">
        <v>796.45</v>
      </c>
      <c r="AB49">
        <v>27</v>
      </c>
    </row>
    <row r="50" spans="1:28" x14ac:dyDescent="0.25">
      <c r="A50">
        <v>3486</v>
      </c>
      <c r="C50" t="s">
        <v>49</v>
      </c>
      <c r="D50" t="s">
        <v>83</v>
      </c>
      <c r="E50" t="s">
        <v>26</v>
      </c>
      <c r="F50" t="s">
        <v>27</v>
      </c>
      <c r="G50" t="s">
        <v>28</v>
      </c>
      <c r="H50" t="s">
        <v>51</v>
      </c>
      <c r="I50" t="s">
        <v>53</v>
      </c>
      <c r="J50" t="s">
        <v>66</v>
      </c>
      <c r="L50" t="s">
        <v>82</v>
      </c>
      <c r="M50" t="s">
        <v>44</v>
      </c>
      <c r="N50" t="s">
        <v>56</v>
      </c>
      <c r="O50" t="s">
        <v>35</v>
      </c>
      <c r="P50" t="s">
        <v>36</v>
      </c>
      <c r="Q50">
        <v>4</v>
      </c>
      <c r="S50">
        <v>3</v>
      </c>
      <c r="T50">
        <v>1</v>
      </c>
      <c r="U50">
        <v>1</v>
      </c>
      <c r="W50" t="s">
        <v>58</v>
      </c>
      <c r="X50" t="s">
        <v>38</v>
      </c>
      <c r="Y50" t="s">
        <v>59</v>
      </c>
      <c r="Z50">
        <v>5</v>
      </c>
      <c r="AA50">
        <v>812.59</v>
      </c>
      <c r="AB50">
        <v>32</v>
      </c>
    </row>
    <row r="51" spans="1:28" x14ac:dyDescent="0.25">
      <c r="C51" t="s">
        <v>49</v>
      </c>
      <c r="D51" t="s">
        <v>60</v>
      </c>
      <c r="E51" t="s">
        <v>26</v>
      </c>
      <c r="F51" t="s">
        <v>42</v>
      </c>
      <c r="G51" t="s">
        <v>28</v>
      </c>
      <c r="H51" t="s">
        <v>29</v>
      </c>
      <c r="I51" t="s">
        <v>53</v>
      </c>
      <c r="J51" t="s">
        <v>93</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Sheet6</vt:lpstr>
      <vt:lpstr>dashboard 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prasanth</dc:creator>
  <cp:lastModifiedBy>siva prasanth</cp:lastModifiedBy>
  <dcterms:created xsi:type="dcterms:W3CDTF">2026-01-23T06:19:01Z</dcterms:created>
  <dcterms:modified xsi:type="dcterms:W3CDTF">2026-01-30T05:40:24Z</dcterms:modified>
</cp:coreProperties>
</file>